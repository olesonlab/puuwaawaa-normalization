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irstenoleson/Library/CloudStorage/GoogleDrive-koleson@hawaii.edu/My Drive/FIREPAPER/code/"/>
    </mc:Choice>
  </mc:AlternateContent>
  <xr:revisionPtr revIDLastSave="0" documentId="8_{1BFB48B4-E1E1-D446-A6DD-59BCB5BFC96F}" xr6:coauthVersionLast="47" xr6:coauthVersionMax="47" xr10:uidLastSave="{00000000-0000-0000-0000-000000000000}"/>
  <bookViews>
    <workbookView xWindow="-33560" yWindow="20" windowWidth="30240" windowHeight="18320" xr2:uid="{00000000-000D-0000-FFFF-FFFF00000000}"/>
  </bookViews>
  <sheets>
    <sheet name="paddock_data" sheetId="1" r:id="rId1"/>
    <sheet name="cleaned" sheetId="7" r:id="rId2"/>
    <sheet name="pivot" sheetId="9" r:id="rId3"/>
    <sheet name="People" sheetId="2" r:id="rId4"/>
    <sheet name="native_rareplants" sheetId="3" r:id="rId5"/>
    <sheet name="flammability" sheetId="4" r:id="rId6"/>
    <sheet name="alternatives" sheetId="5" r:id="rId7"/>
    <sheet name="alt_trans" sheetId="8" r:id="rId8"/>
    <sheet name="raw from Clay" sheetId="6" r:id="rId9"/>
  </sheets>
  <externalReferences>
    <externalReference r:id="rId10"/>
  </externalReferences>
  <definedNames>
    <definedName name="budget">[1]Decision_table!$S$2</definedName>
    <definedName name="max_comm">People!$N$26</definedName>
    <definedName name="max_graz">People!$AN$26</definedName>
    <definedName name="max_hunt">People!$AA$26</definedName>
    <definedName name="max_native">native_rareplants!$AR$54</definedName>
    <definedName name="max_rare">native_rareplants!$AR$28</definedName>
    <definedName name="num_choices">[1]Decision_table!$R$9:$R$30</definedName>
  </definedNames>
  <calcPr calcId="191029"/>
  <pivotCaches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G17" i="1"/>
  <c r="G16" i="1"/>
  <c r="F15" i="7" s="1"/>
  <c r="G15" i="1"/>
  <c r="F14" i="7" s="1"/>
  <c r="G14" i="1"/>
  <c r="F13" i="7" s="1"/>
  <c r="G13" i="1"/>
  <c r="F12" i="7" s="1"/>
  <c r="G12" i="1"/>
  <c r="F11" i="7" s="1"/>
  <c r="G11" i="1"/>
  <c r="F10" i="7" s="1"/>
  <c r="G10" i="1"/>
  <c r="G9" i="1"/>
  <c r="G8" i="1"/>
  <c r="G7" i="1"/>
  <c r="G6" i="1"/>
  <c r="F5" i="7" s="1"/>
  <c r="G5" i="1"/>
  <c r="F4" i="7" s="1"/>
  <c r="G4" i="1"/>
  <c r="G3" i="1"/>
  <c r="F3" i="7"/>
  <c r="F20" i="7"/>
  <c r="F19" i="7"/>
  <c r="F18" i="7"/>
  <c r="F17" i="7"/>
  <c r="F16" i="7"/>
  <c r="F9" i="7"/>
  <c r="F2" i="7"/>
  <c r="D27" i="1"/>
  <c r="F23" i="7"/>
  <c r="F22" i="7"/>
  <c r="F21" i="7"/>
  <c r="F8" i="7"/>
  <c r="F7" i="7"/>
  <c r="F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V. Lonsdorf</author>
  </authors>
  <commentList>
    <comment ref="BD3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Eric V. Lonsdorf:
</t>
        </r>
        <r>
          <rPr>
            <sz val="11"/>
            <color rgb="FF000000"/>
            <rFont val="Calibri"/>
            <family val="2"/>
          </rPr>
          <t>Community happiness is a measure of their reaction to the action taken on this place (higher is better)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V. Lonsdorf</author>
  </authors>
  <commentList>
    <comment ref="AX2" authorId="0" shapeId="0" xr:uid="{C388D37E-A0E7-6B44-83F5-767CD41712CA}">
      <text>
        <r>
          <rPr>
            <sz val="11"/>
            <color rgb="FF000000"/>
            <rFont val="Calibri"/>
            <family val="2"/>
          </rPr>
          <t xml:space="preserve">Eric V. Lonsdorf:
</t>
        </r>
        <r>
          <rPr>
            <sz val="11"/>
            <color rgb="FF000000"/>
            <rFont val="Calibri"/>
            <family val="2"/>
          </rPr>
          <t>Community happiness is a measure of their reaction to the action taken on this place (higher is better)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V. Lonsdorf</author>
  </authors>
  <commentList>
    <comment ref="D3" authorId="0" shapeId="0" xr:uid="{00000000-0006-0000-0100-000001000000}">
      <text>
        <r>
          <rPr>
            <sz val="11"/>
            <color rgb="FF000000"/>
            <rFont val="Calibri"/>
            <family val="2"/>
          </rPr>
          <t xml:space="preserve">Eric V. Lonsdorf:
</t>
        </r>
        <r>
          <rPr>
            <sz val="11"/>
            <color rgb="FF000000"/>
            <rFont val="Calibri"/>
            <family val="2"/>
          </rPr>
          <t>Community happiness is a measure of their reaction to the action taken on this place (higher is better)</t>
        </r>
      </text>
    </comment>
  </commentList>
</comments>
</file>

<file path=xl/sharedStrings.xml><?xml version="1.0" encoding="utf-8"?>
<sst xmlns="http://schemas.openxmlformats.org/spreadsheetml/2006/main" count="901" uniqueCount="274">
  <si>
    <t>COST</t>
  </si>
  <si>
    <t>FIRE RISK</t>
  </si>
  <si>
    <t>Rare and endangered benefits</t>
  </si>
  <si>
    <t>Native forest cover</t>
  </si>
  <si>
    <t>Community</t>
  </si>
  <si>
    <t>Hunters</t>
  </si>
  <si>
    <t>Grazing</t>
  </si>
  <si>
    <t>Area</t>
  </si>
  <si>
    <t>elevation</t>
  </si>
  <si>
    <t>Paddock size (m2)</t>
  </si>
  <si>
    <t>Management Unit</t>
  </si>
  <si>
    <t>Alt_1</t>
  </si>
  <si>
    <t>Alt_2</t>
  </si>
  <si>
    <t>Alt_3</t>
  </si>
  <si>
    <t>Alt_4</t>
  </si>
  <si>
    <t>Alt_5</t>
  </si>
  <si>
    <t>Alt_6</t>
  </si>
  <si>
    <t>Alt_7</t>
  </si>
  <si>
    <t>Alt_8</t>
  </si>
  <si>
    <t>Alt_9</t>
  </si>
  <si>
    <t>Alt_10</t>
  </si>
  <si>
    <t>Alt_11</t>
  </si>
  <si>
    <t>Puu Waawaa</t>
  </si>
  <si>
    <t>Makai</t>
  </si>
  <si>
    <t>Middle</t>
  </si>
  <si>
    <t>Mauka</t>
  </si>
  <si>
    <t>**CHECK FLAMMABILITY SHEET - USE SCALED CHANGE IN FLAMMABILITY INSTEAD?</t>
  </si>
  <si>
    <t>note: single cost for roadside fuel break</t>
  </si>
  <si>
    <t>Native</t>
  </si>
  <si>
    <t>Score</t>
  </si>
  <si>
    <t>lo</t>
  </si>
  <si>
    <t>med</t>
  </si>
  <si>
    <t>Fire Risk Effort</t>
  </si>
  <si>
    <t>Fire contribution score</t>
  </si>
  <si>
    <t>Mauka road</t>
  </si>
  <si>
    <t>middle</t>
  </si>
  <si>
    <t>Lo</t>
  </si>
  <si>
    <t>Low</t>
  </si>
  <si>
    <t>hi</t>
  </si>
  <si>
    <t>Med</t>
  </si>
  <si>
    <t>high</t>
  </si>
  <si>
    <t>-med</t>
  </si>
  <si>
    <t>-lo-med</t>
  </si>
  <si>
    <t>-hi</t>
  </si>
  <si>
    <t>Med-Hi</t>
  </si>
  <si>
    <t>Text</t>
  </si>
  <si>
    <t>HI</t>
  </si>
  <si>
    <t>V Hi</t>
  </si>
  <si>
    <t>med-hi</t>
  </si>
  <si>
    <t>none</t>
  </si>
  <si>
    <t>VV Hi</t>
  </si>
  <si>
    <t>low-med</t>
  </si>
  <si>
    <t>lo-med</t>
  </si>
  <si>
    <t>NA</t>
  </si>
  <si>
    <t>None</t>
  </si>
  <si>
    <t>note: add 1 to each score</t>
  </si>
  <si>
    <t>*Shared borders between paddocks</t>
  </si>
  <si>
    <t>paddock_a</t>
  </si>
  <si>
    <t>paddock_b</t>
  </si>
  <si>
    <t>length_meters</t>
  </si>
  <si>
    <t>fence</t>
  </si>
  <si>
    <t>firebreak</t>
  </si>
  <si>
    <t>fence+firebreak (all alternatives except 3, 10, 11)</t>
  </si>
  <si>
    <t>RARE PLANTS * Management benefit</t>
  </si>
  <si>
    <t>RARE PLANTS * Fire reduction benefit</t>
  </si>
  <si>
    <t>Rare*Mgmt benefits + Rare*Fire benefits</t>
  </si>
  <si>
    <t>Rare*Mgmt benefits + Rare*Fire benefits (SCALED 0-1)</t>
  </si>
  <si>
    <t>UNIQUE_ID</t>
  </si>
  <si>
    <t>NATIVE_PCT_COVER</t>
  </si>
  <si>
    <t>rareplant_count</t>
  </si>
  <si>
    <t>paddock size</t>
  </si>
  <si>
    <t>max value</t>
  </si>
  <si>
    <t>Native hectares*Management benefits</t>
  </si>
  <si>
    <t>Native hectares*Fire benefits</t>
  </si>
  <si>
    <t>Native ha* mgmt benefits + native ha*flamm benefits</t>
  </si>
  <si>
    <t>Native ha* mgmt benefits + native ha*flamm benefits (SCALED 0-1)</t>
  </si>
  <si>
    <t>Score + 1</t>
  </si>
  <si>
    <t>NO_FIRE_BENEFIT</t>
  </si>
  <si>
    <t>note: 1 = no benefit</t>
  </si>
  <si>
    <t>NEED TO CONFER AGAIN WITH ELLIOT AS TO THE MGMT BENEFITS</t>
  </si>
  <si>
    <t>*THESE VALUES DO NOT INCLUDE EFFECT OF STAKEHOLDER OUTREACH ACTIONS</t>
  </si>
  <si>
    <t>ALT:</t>
  </si>
  <si>
    <t>CURRENT FLAMMABILITY - 75th PERCENTILE</t>
  </si>
  <si>
    <t>Firebreak around paddock (50% reduction)</t>
  </si>
  <si>
    <t>Firebreak at roadside (20% reduction for all paddocks)</t>
  </si>
  <si>
    <t>Intensify grazing (50% reduction)</t>
  </si>
  <si>
    <t>firebreak around paddock (50%) + remove cattle (0%)</t>
  </si>
  <si>
    <t>firebreak around paddock (50%) + remove cattle (0%) + remove feral animals (0%)</t>
  </si>
  <si>
    <t>firebreak around paddock (50%) + remove cattle (0%) + remove feral animals (0%) + weed control around natives (50% within 30ft buffer)</t>
  </si>
  <si>
    <t>full restoration + firebreak (50%)</t>
  </si>
  <si>
    <t>firebreak (50%) + weed control around natives (50% within 30ft. buffers)</t>
  </si>
  <si>
    <t>firebreak (50%) + remove cattle (0%) + weed control around natives (50% within 30ft. buffers)</t>
  </si>
  <si>
    <t>outplanting (0%)</t>
  </si>
  <si>
    <t>no change</t>
  </si>
  <si>
    <t>Absolute CHANGE IN FLAMMABILITY</t>
  </si>
  <si>
    <t>USE THIS FOR OPTIMIZER</t>
  </si>
  <si>
    <t>Scaled flammability change factor (0 - 1, one being the biggest reduction in flammability)</t>
  </si>
  <si>
    <t>Flammability benefit scaled 1-5 so that the factor weighting is equivalent to management intervention factor</t>
  </si>
  <si>
    <t>***RUN BY KIRSTEN AND ERIC</t>
  </si>
  <si>
    <t>management alternative description</t>
  </si>
  <si>
    <t>fence + firebreaks + grazer outreach</t>
  </si>
  <si>
    <t>roadway fuelbreak, public outreach, grazer outreach</t>
  </si>
  <si>
    <t>fence + intensify grazing, grazer outreach, hunter outreach</t>
  </si>
  <si>
    <t>fence + firebreak + remove cattle + grazer outreach</t>
  </si>
  <si>
    <t>fence + firebreak + remove cattle + remove feral animals +  grazer outreach + hunter outreach</t>
  </si>
  <si>
    <t>fence + firebreak + remove cattle + remove feral animals + weed control (around R&amp;E) + grazer outreach + hunter outreach</t>
  </si>
  <si>
    <t>full restoration (fence + firebreak + remove cattle + remove feral animals +  site prep + outplanting + grazer outreach + hunter outreach)</t>
  </si>
  <si>
    <t xml:space="preserve">fence + firebreak + weed control (around R&amp;E) + grazer outreach </t>
  </si>
  <si>
    <t>fence + firebreak + remove cattle + weed control (around R&amp;E), grazer outreach</t>
  </si>
  <si>
    <t>fence + outplanting (does not include firebreak or site prep)</t>
  </si>
  <si>
    <t>actions:
1. fence
2. firebreak
3. fuelbreak
4. intensify grazing
5. remove cattle
6. remove feral animals
7. weed control
8. outplanting
9. no change</t>
  </si>
  <si>
    <t>alternative</t>
  </si>
  <si>
    <t>ALT1</t>
  </si>
  <si>
    <t>ALT2</t>
  </si>
  <si>
    <t>ALT3</t>
  </si>
  <si>
    <t>ALT4</t>
  </si>
  <si>
    <t>ALT5</t>
  </si>
  <si>
    <t>ALT6</t>
  </si>
  <si>
    <t>ALT7</t>
  </si>
  <si>
    <t>ALT8</t>
  </si>
  <si>
    <t>ALT9</t>
  </si>
  <si>
    <t>ALT10</t>
  </si>
  <si>
    <t>ALT11</t>
  </si>
  <si>
    <t>flammability reduction</t>
  </si>
  <si>
    <t xml:space="preserve">50% + additional 50% within 60ft. Diameter buffers around R&amp;E plant locations </t>
  </si>
  <si>
    <t>full restoration flam values + 50%</t>
  </si>
  <si>
    <t>50% within 60ft. Diameter buffers around R&amp;E plant locations</t>
  </si>
  <si>
    <t>R&amp;E plant/native forest cover benefit</t>
  </si>
  <si>
    <t>Fence</t>
  </si>
  <si>
    <t>Firebreak</t>
  </si>
  <si>
    <t>Alternative</t>
  </si>
  <si>
    <t>Specific Actions</t>
  </si>
  <si>
    <t>Outreach</t>
  </si>
  <si>
    <t>Fire Risk Reduction</t>
  </si>
  <si>
    <t>Trust Scoring (Ranchers, Hunters, Public)</t>
  </si>
  <si>
    <t>fence + fuelbreaks</t>
  </si>
  <si>
    <t>Ranchers</t>
  </si>
  <si>
    <t>3, 1, 1</t>
  </si>
  <si>
    <t>roadway fuelbreak</t>
  </si>
  <si>
    <t>Ranchers, Public</t>
  </si>
  <si>
    <t>1, 1, 3</t>
  </si>
  <si>
    <t>fence + intensify grazing</t>
  </si>
  <si>
    <t>Ranchers, Hunters</t>
  </si>
  <si>
    <t>4, 1, 3</t>
  </si>
  <si>
    <t>fence + fuelbreak + remove cattle</t>
  </si>
  <si>
    <t>-4, ,2, 1</t>
  </si>
  <si>
    <t>fence + fuelbreak + remove cattle + remove feral animals</t>
  </si>
  <si>
    <t>-4, -4, 1</t>
  </si>
  <si>
    <t>fence + fuelbreak + remove cattle + remove feral animals + weed control (around R&amp;E)</t>
  </si>
  <si>
    <t>20% + additional 50% around R&amp;E plants</t>
  </si>
  <si>
    <t>full restoration (fence + fuelbreak + remove cattle + remove feral animals +  site prep + outplanting)</t>
  </si>
  <si>
    <t>Land cover change effect (grass-&gt; forest) + 50%</t>
  </si>
  <si>
    <t>-4, -4, 3</t>
  </si>
  <si>
    <t>fence + fuelbreak + weed control (around R&amp;E)</t>
  </si>
  <si>
    <t>Ranchers </t>
  </si>
  <si>
    <t>50% around R&amp;E plants</t>
  </si>
  <si>
    <t>1, 1, 1</t>
  </si>
  <si>
    <t>fence + fuelbreak + remove cattle + weed control (around R&amp;E)</t>
  </si>
  <si>
    <t>-4, -3, 1</t>
  </si>
  <si>
    <t>fence + outplanting (does not include fuelbreak or site preparation)</t>
  </si>
  <si>
    <t>N/A</t>
  </si>
  <si>
    <t>2, 2, 2</t>
  </si>
  <si>
    <t>0, 0, 0</t>
  </si>
  <si>
    <t>fence + intensify grazing + remove feral animals</t>
  </si>
  <si>
    <t>4, -4, 3</t>
  </si>
  <si>
    <t>Scenario</t>
  </si>
  <si>
    <t>Management Goal</t>
  </si>
  <si>
    <t>Rare and endangered</t>
  </si>
  <si>
    <t>Native Forest</t>
  </si>
  <si>
    <t>Grazers</t>
  </si>
  <si>
    <t>Equal Weight</t>
  </si>
  <si>
    <t>Stakeholders</t>
  </si>
  <si>
    <t>Conservation</t>
  </si>
  <si>
    <t>Native Habitat</t>
  </si>
  <si>
    <t>R&amp;E Species</t>
  </si>
  <si>
    <t>Management benefit = (FR*Plant metric)+(DM*Plant metric)</t>
  </si>
  <si>
    <t>COST_Alt_1</t>
  </si>
  <si>
    <t>COST_Alt_2</t>
  </si>
  <si>
    <t>COST_Alt_3</t>
  </si>
  <si>
    <t>COST_Alt_4</t>
  </si>
  <si>
    <t>COST_Alt_5</t>
  </si>
  <si>
    <t>COST_Alt_6</t>
  </si>
  <si>
    <t>COST_Alt_7</t>
  </si>
  <si>
    <t>COST_Alt_8</t>
  </si>
  <si>
    <t>COST_Alt_9</t>
  </si>
  <si>
    <t>COST_Alt_10</t>
  </si>
  <si>
    <t>COST_Alt_11</t>
  </si>
  <si>
    <t>FIRE_Alt_1</t>
  </si>
  <si>
    <t>FIRE_Alt_2</t>
  </si>
  <si>
    <t>FIRE_Alt_3</t>
  </si>
  <si>
    <t>FIRE_Alt_4</t>
  </si>
  <si>
    <t>FIRE_Alt_5</t>
  </si>
  <si>
    <t>FIRE_Alt_6</t>
  </si>
  <si>
    <t>FIRE_Alt_7</t>
  </si>
  <si>
    <t>FIRE_Alt_8</t>
  </si>
  <si>
    <t>FIRE_Alt_9</t>
  </si>
  <si>
    <t>FIRE_Alt_10</t>
  </si>
  <si>
    <t>FIRE_Alt_11</t>
  </si>
  <si>
    <t>R&amp;E_Alt_1</t>
  </si>
  <si>
    <t>R&amp;E_Alt_2</t>
  </si>
  <si>
    <t>R&amp;E_Alt_3</t>
  </si>
  <si>
    <t>R&amp;E_Alt_4</t>
  </si>
  <si>
    <t>R&amp;E_Alt_5</t>
  </si>
  <si>
    <t>R&amp;E_Alt_6</t>
  </si>
  <si>
    <t>R&amp;E_Alt_7</t>
  </si>
  <si>
    <t>R&amp;E_Alt_8</t>
  </si>
  <si>
    <t>R&amp;E_Alt_9</t>
  </si>
  <si>
    <t>R&amp;E_Alt_10</t>
  </si>
  <si>
    <t>R&amp;E_Alt_11</t>
  </si>
  <si>
    <t>FOREST_Alt_1</t>
  </si>
  <si>
    <t>FOREST_Alt_2</t>
  </si>
  <si>
    <t>FOREST_Alt_3</t>
  </si>
  <si>
    <t>FOREST_Alt_4</t>
  </si>
  <si>
    <t>FOREST_Alt_5</t>
  </si>
  <si>
    <t>FOREST_Alt_6</t>
  </si>
  <si>
    <t>FOREST_Alt_7</t>
  </si>
  <si>
    <t>FOREST_Alt_8</t>
  </si>
  <si>
    <t>FOREST_Alt_9</t>
  </si>
  <si>
    <t>FOREST_Alt_10</t>
  </si>
  <si>
    <t>FOREST_Alt_11</t>
  </si>
  <si>
    <t>COMMUNITY_Alt_1</t>
  </si>
  <si>
    <t>COMMUNITY_Alt_2</t>
  </si>
  <si>
    <t>COMMUNITY_Alt_3</t>
  </si>
  <si>
    <t>COMMUNITY_Alt_4</t>
  </si>
  <si>
    <t>COMMUNITY_Alt_5</t>
  </si>
  <si>
    <t>COMMUNITY_Alt_6</t>
  </si>
  <si>
    <t>COMMUNITY_Alt_7</t>
  </si>
  <si>
    <t>COMMUNITY_Alt_8</t>
  </si>
  <si>
    <t>COMMUNITY_Alt_9</t>
  </si>
  <si>
    <t>COMMUNITY_Alt_10</t>
  </si>
  <si>
    <t>COMMUNITY_Alt_11</t>
  </si>
  <si>
    <t>HUNTERS_Alt_1</t>
  </si>
  <si>
    <t>HUNTERS_Alt_2</t>
  </si>
  <si>
    <t>HUNTERS_Alt_3</t>
  </si>
  <si>
    <t>HUNTERS_Alt_4</t>
  </si>
  <si>
    <t>HUNTERS_Alt_5</t>
  </si>
  <si>
    <t>HUNTERS_Alt_6</t>
  </si>
  <si>
    <t>HUNTERS_Alt_7</t>
  </si>
  <si>
    <t>HUNTERS_Alt_8</t>
  </si>
  <si>
    <t>HUNTERS_Alt_9</t>
  </si>
  <si>
    <t>HUNTERS_Alt_10</t>
  </si>
  <si>
    <t>HUNTERS_Alt_11</t>
  </si>
  <si>
    <t>RANCHERS_Alt_1</t>
  </si>
  <si>
    <t>RANCHERS_Alt_2</t>
  </si>
  <si>
    <t>RANCHERS_Alt_3</t>
  </si>
  <si>
    <t>RANCHERS_Alt_4</t>
  </si>
  <si>
    <t>RANCHERS_Alt_5</t>
  </si>
  <si>
    <t>RANCHERS_Alt_6</t>
  </si>
  <si>
    <t>RANCHERS_Alt_7</t>
  </si>
  <si>
    <t>RANCHERS_Alt_8</t>
  </si>
  <si>
    <t>RANCHERS_Alt_9</t>
  </si>
  <si>
    <t>RANCHERS_Alt_10</t>
  </si>
  <si>
    <t>RANCHERS_Alt_11</t>
  </si>
  <si>
    <t>Elevation</t>
  </si>
  <si>
    <t>ALT_ID</t>
  </si>
  <si>
    <t>Description</t>
  </si>
  <si>
    <t>Sum of FIRE_Alt_11</t>
  </si>
  <si>
    <t>Sum of R&amp;E_Alt_11</t>
  </si>
  <si>
    <t>Sum of FOREST_Alt_11</t>
  </si>
  <si>
    <t>Sum of COMMUNITY_Alt_11</t>
  </si>
  <si>
    <t>Sum of HUNTERS_Alt_11</t>
  </si>
  <si>
    <t>Sum of RANCHERS_Alt_11</t>
  </si>
  <si>
    <t>Sum of COST_Alt_11</t>
  </si>
  <si>
    <t>ALT_1</t>
  </si>
  <si>
    <t>ALT_2</t>
  </si>
  <si>
    <t>ALT_3</t>
  </si>
  <si>
    <t>ALT_4</t>
  </si>
  <si>
    <t>ALT_5</t>
  </si>
  <si>
    <t>ALT_6</t>
  </si>
  <si>
    <t>ALT_7</t>
  </si>
  <si>
    <t>ALT_8</t>
  </si>
  <si>
    <t>ALT_9</t>
  </si>
  <si>
    <t>ALT_10</t>
  </si>
  <si>
    <t>ALT_11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</si>
</sst>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9" fontId="0" fillId="0" borderId="0" xfId="0" applyNumberFormat="1" applyAlignment="1">
      <alignment wrapText="1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cision_tab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ision_tabl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sten Oleson" refreshedDate="46134.592815162039" createdVersion="8" refreshedVersion="8" minRefreshableVersion="3" recordCount="22" xr:uid="{41FA6D3F-5C23-7D4D-AA28-B8080B7796DD}">
  <cacheSource type="worksheet">
    <worksheetSource ref="A1:CC23" sheet="cleaned"/>
  </cacheSource>
  <cacheFields count="81">
    <cacheField name="Area" numFmtId="0">
      <sharedItems/>
    </cacheField>
    <cacheField name="Elevation" numFmtId="0">
      <sharedItems/>
    </cacheField>
    <cacheField name="Paddock size (m2)" numFmtId="0">
      <sharedItems containsSemiMixedTypes="0" containsString="0" containsNumber="1" containsInteger="1" minValue="488554" maxValue="3550930"/>
    </cacheField>
    <cacheField name="Management Unit" numFmtId="0">
      <sharedItems containsSemiMixedTypes="0" containsString="0" containsNumber="1" containsInteger="1" minValue="1" maxValue="22"/>
    </cacheField>
    <cacheField name="COST_Alt_1" numFmtId="2">
      <sharedItems containsSemiMixedTypes="0" containsString="0" containsNumber="1" minValue="351195.64090599999" maxValue="958827.22031899996"/>
    </cacheField>
    <cacheField name="COST_Alt_2" numFmtId="2">
      <sharedItems containsSemiMixedTypes="0" containsString="0" containsNumber="1" minValue="137677.05799999999" maxValue="137677.05799999999"/>
    </cacheField>
    <cacheField name="COST_Alt_3" numFmtId="2">
      <sharedItems containsSemiMixedTypes="0" containsString="0" containsNumber="1" minValue="561785.55898196821" maxValue="1224272.0866239681"/>
    </cacheField>
    <cacheField name="COST_Alt_4" numFmtId="2">
      <sharedItems containsSemiMixedTypes="0" containsString="0" containsNumber="1" minValue="351195.64090599999" maxValue="958827.22031899996"/>
    </cacheField>
    <cacheField name="COST_Alt_5" numFmtId="2">
      <sharedItems containsSemiMixedTypes="0" containsString="0" containsNumber="1" minValue="696145.48421199992" maxValue="1536109.346438"/>
    </cacheField>
    <cacheField name="COST_Alt_6" numFmtId="2">
      <sharedItems containsSemiMixedTypes="0" containsString="0" containsNumber="1" minValue="696958.67289599997" maxValue="1537234.3090635999"/>
    </cacheField>
    <cacheField name="COST_Alt_7" numFmtId="2">
      <sharedItems containsSemiMixedTypes="0" containsString="0" containsNumber="1" minValue="925810.50969599991" maxValue="5957629.7290636003"/>
    </cacheField>
    <cacheField name="COST_Alt_8" numFmtId="2">
      <sharedItems containsSemiMixedTypes="0" containsString="0" containsNumber="1" minValue="352008.82958999998" maxValue="959952.1829446"/>
    </cacheField>
    <cacheField name="COST_Alt_9" numFmtId="2">
      <sharedItems containsSemiMixedTypes="0" containsString="0" containsNumber="1" minValue="352008.82958999998" maxValue="959952.1829446"/>
    </cacheField>
    <cacheField name="COST_Alt_10" numFmtId="2">
      <sharedItems containsSemiMixedTypes="0" containsString="0" containsNumber="1" minValue="384212.40990600002" maxValue="1392501.923919"/>
    </cacheField>
    <cacheField name="COST_Alt_11" numFmtId="2">
      <sharedItems containsSemiMixedTypes="0" containsString="0" containsNumber="1" containsInteger="1" minValue="0" maxValue="0"/>
    </cacheField>
    <cacheField name="FIRE_Alt_1" numFmtId="2">
      <sharedItems containsSemiMixedTypes="0" containsString="0" containsNumber="1" minValue="0.1461582552926228" maxValue="0.79747095561404646"/>
    </cacheField>
    <cacheField name="FIRE_Alt_2" numFmtId="2">
      <sharedItems containsSemiMixedTypes="0" containsString="0" containsNumber="1" minValue="5.8463302117049122E-2" maxValue="0.31898838224561848"/>
    </cacheField>
    <cacheField name="FIRE_Alt_3" numFmtId="2">
      <sharedItems containsSemiMixedTypes="0" containsString="0" containsNumber="1" minValue="0.1461582552926228" maxValue="0.79747095561404646"/>
    </cacheField>
    <cacheField name="FIRE_Alt_4" numFmtId="2">
      <sharedItems containsSemiMixedTypes="0" containsString="0" containsNumber="1" minValue="0.1461582552926228" maxValue="0.79747095561404646"/>
    </cacheField>
    <cacheField name="FIRE_Alt_5" numFmtId="2">
      <sharedItems containsSemiMixedTypes="0" containsString="0" containsNumber="1" minValue="0.1461582552926228" maxValue="0.79747095561404646"/>
    </cacheField>
    <cacheField name="FIRE_Alt_6" numFmtId="2">
      <sharedItems containsSemiMixedTypes="0" containsString="0" containsNumber="1" minValue="0.1461745408432582" maxValue="0.79747095467098494"/>
    </cacheField>
    <cacheField name="FIRE_Alt_7" numFmtId="2">
      <sharedItems containsSemiMixedTypes="0" containsString="0" containsNumber="1" minValue="0.114020826655028" maxValue="1"/>
    </cacheField>
    <cacheField name="FIRE_Alt_8" numFmtId="2">
      <sharedItems containsSemiMixedTypes="0" containsString="0" containsNumber="1" minValue="0.1461745408432582" maxValue="0.79747095467098494"/>
    </cacheField>
    <cacheField name="FIRE_Alt_9" numFmtId="2">
      <sharedItems containsSemiMixedTypes="0" containsString="0" containsNumber="1" minValue="0.1461745408432582" maxValue="0.79747095467098494"/>
    </cacheField>
    <cacheField name="FIRE_Alt_10" numFmtId="2">
      <sharedItems containsSemiMixedTypes="0" containsString="0" containsNumber="1" containsInteger="1" minValue="0" maxValue="0"/>
    </cacheField>
    <cacheField name="FIRE_Alt_11" numFmtId="2">
      <sharedItems containsSemiMixedTypes="0" containsString="0" containsNumber="1" containsInteger="1" minValue="0" maxValue="0"/>
    </cacheField>
    <cacheField name="R&amp;E_Alt_1" numFmtId="2">
      <sharedItems containsSemiMixedTypes="0" containsString="0" containsNumber="1" minValue="0" maxValue="0.37863672412286759"/>
    </cacheField>
    <cacheField name="R&amp;E_Alt_2" numFmtId="2">
      <sharedItems containsSemiMixedTypes="0" containsString="0" containsNumber="1" minValue="0" maxValue="0.28810152430902131"/>
    </cacheField>
    <cacheField name="R&amp;E_Alt_3" numFmtId="2">
      <sharedItems containsSemiMixedTypes="0" containsString="0" containsNumber="1" minValue="0" maxValue="0.15089199968974379"/>
    </cacheField>
    <cacheField name="R&amp;E_Alt_4" numFmtId="2">
      <sharedItems containsSemiMixedTypes="0" containsString="0" containsNumber="1" minValue="0" maxValue="0.49250908633942958"/>
    </cacheField>
    <cacheField name="R&amp;E_Alt_5" numFmtId="2">
      <sharedItems containsSemiMixedTypes="0" containsString="0" containsNumber="1" minValue="0" maxValue="0.49250908633942958"/>
    </cacheField>
    <cacheField name="R&amp;E_Alt_6" numFmtId="2">
      <sharedItems containsSemiMixedTypes="0" containsString="0" containsNumber="1" minValue="0" maxValue="0.60808306501420739"/>
    </cacheField>
    <cacheField name="R&amp;E_Alt_7" numFmtId="2">
      <sharedItems containsSemiMixedTypes="0" containsString="0" containsNumber="1" minValue="0" maxValue="1"/>
    </cacheField>
    <cacheField name="R&amp;E_Alt_8" numFmtId="2">
      <sharedItems containsSemiMixedTypes="0" containsString="0" containsNumber="1" minValue="0" maxValue="0.56936181108280959"/>
    </cacheField>
    <cacheField name="R&amp;E_Alt_9" numFmtId="2">
      <sharedItems containsSemiMixedTypes="0" containsString="0" containsNumber="1" minValue="0" maxValue="0.83582778944733127"/>
    </cacheField>
    <cacheField name="R&amp;E_Alt_10" numFmtId="2">
      <sharedItems containsSemiMixedTypes="0" containsString="0" containsNumber="1" minValue="0" maxValue="0.56936181108280959"/>
    </cacheField>
    <cacheField name="R&amp;E_Alt_11" numFmtId="2">
      <sharedItems containsSemiMixedTypes="0" containsString="0" containsNumber="1" minValue="0" maxValue="0.22774472443312391"/>
    </cacheField>
    <cacheField name="FOREST_Alt_1" numFmtId="2">
      <sharedItems containsSemiMixedTypes="0" containsString="0" containsNumber="1" minValue="3.2702594380704428E-4" maxValue="0.42126608012531302"/>
    </cacheField>
    <cacheField name="FOREST_Alt_2" numFmtId="2">
      <sharedItems containsSemiMixedTypes="0" containsString="0" containsNumber="1" minValue="2.8128558225010689E-4" maxValue="0.30532276196273761"/>
    </cacheField>
    <cacheField name="FOREST_Alt_3" numFmtId="2">
      <sharedItems containsSemiMixedTypes="0" containsString="0" containsNumber="1" minValue="7.6233935928229002E-5" maxValue="0.19323886360429229"/>
    </cacheField>
    <cacheField name="FOREST_Alt_4" numFmtId="2">
      <sharedItems containsSemiMixedTypes="0" containsString="0" containsNumber="1" minValue="4.5242194774645201E-4" maxValue="0.5352796883858234"/>
    </cacheField>
    <cacheField name="FOREST_Alt_5" numFmtId="2">
      <sharedItems containsSemiMixedTypes="0" containsString="0" containsNumber="1" minValue="4.5242194774645201E-4" maxValue="0.5352796883858234"/>
    </cacheField>
    <cacheField name="FOREST_Alt_6" numFmtId="2">
      <sharedItems containsSemiMixedTypes="0" containsString="0" containsNumber="1" minValue="5.7786644372079525E-4" maxValue="0.64929621074003518"/>
    </cacheField>
    <cacheField name="FOREST_Alt_7" numFmtId="2">
      <sharedItems containsSemiMixedTypes="0" containsString="0" containsNumber="1" minValue="9.5569164549582134E-4" maxValue="1"/>
    </cacheField>
    <cacheField name="FOREST_Alt_8" numFmtId="2">
      <sharedItems containsSemiMixedTypes="0" containsString="0" containsNumber="1" minValue="6.2698001969703813E-4" maxValue="0.57006804130255195"/>
    </cacheField>
    <cacheField name="FOREST_Alt_9" numFmtId="2">
      <sharedItems containsSemiMixedTypes="0" containsString="0" containsNumber="1" minValue="8.2865845159961048E-4" maxValue="0.87732342726105594"/>
    </cacheField>
    <cacheField name="FOREST_Alt_10" numFmtId="2">
      <sharedItems containsSemiMixedTypes="0" containsString="0" containsNumber="1" minValue="6.2698001969703813E-4" maxValue="0.57006804130255195"/>
    </cacheField>
    <cacheField name="FOREST_Alt_11" numFmtId="2">
      <sharedItems containsSemiMixedTypes="0" containsString="0" containsNumber="1" minValue="2.5079200787881528E-4" maxValue="0.22802721652102079"/>
    </cacheField>
    <cacheField name="COMMUNITY_Alt_1" numFmtId="2">
      <sharedItems containsSemiMixedTypes="0" containsString="0" containsNumber="1" containsInteger="1" minValue="1" maxValue="3"/>
    </cacheField>
    <cacheField name="COMMUNITY_Alt_2" numFmtId="2">
      <sharedItems containsSemiMixedTypes="0" containsString="0" containsNumber="1" containsInteger="1" minValue="3" maxValue="9"/>
    </cacheField>
    <cacheField name="COMMUNITY_Alt_3" numFmtId="2">
      <sharedItems containsSemiMixedTypes="0" containsString="0" containsNumber="1" containsInteger="1" minValue="3" maxValue="9"/>
    </cacheField>
    <cacheField name="COMMUNITY_Alt_4" numFmtId="2">
      <sharedItems containsSemiMixedTypes="0" containsString="0" containsNumber="1" containsInteger="1" minValue="1" maxValue="3"/>
    </cacheField>
    <cacheField name="COMMUNITY_Alt_5" numFmtId="2">
      <sharedItems containsSemiMixedTypes="0" containsString="0" containsNumber="1" containsInteger="1" minValue="1" maxValue="3"/>
    </cacheField>
    <cacheField name="COMMUNITY_Alt_6" numFmtId="2">
      <sharedItems containsSemiMixedTypes="0" containsString="0" containsNumber="1" containsInteger="1" minValue="1" maxValue="3"/>
    </cacheField>
    <cacheField name="COMMUNITY_Alt_7" numFmtId="2">
      <sharedItems containsSemiMixedTypes="0" containsString="0" containsNumber="1" containsInteger="1" minValue="3" maxValue="9"/>
    </cacheField>
    <cacheField name="COMMUNITY_Alt_8" numFmtId="2">
      <sharedItems containsSemiMixedTypes="0" containsString="0" containsNumber="1" containsInteger="1" minValue="1" maxValue="3"/>
    </cacheField>
    <cacheField name="COMMUNITY_Alt_9" numFmtId="2">
      <sharedItems containsSemiMixedTypes="0" containsString="0" containsNumber="1" containsInteger="1" minValue="1" maxValue="3"/>
    </cacheField>
    <cacheField name="COMMUNITY_Alt_10" numFmtId="2">
      <sharedItems containsSemiMixedTypes="0" containsString="0" containsNumber="1" containsInteger="1" minValue="2" maxValue="6"/>
    </cacheField>
    <cacheField name="COMMUNITY_Alt_11" numFmtId="2">
      <sharedItems containsSemiMixedTypes="0" containsString="0" containsNumber="1" containsInteger="1" minValue="0" maxValue="0"/>
    </cacheField>
    <cacheField name="HUNTERS_Alt_1" numFmtId="2">
      <sharedItems containsSemiMixedTypes="0" containsString="0" containsNumber="1" containsInteger="1" minValue="1" maxValue="3"/>
    </cacheField>
    <cacheField name="HUNTERS_Alt_2" numFmtId="2">
      <sharedItems containsSemiMixedTypes="0" containsString="0" containsNumber="1" containsInteger="1" minValue="1" maxValue="3"/>
    </cacheField>
    <cacheField name="HUNTERS_Alt_3" numFmtId="2">
      <sharedItems containsSemiMixedTypes="0" containsString="0" containsNumber="1" containsInteger="1" minValue="1" maxValue="3"/>
    </cacheField>
    <cacheField name="HUNTERS_Alt_4" numFmtId="2">
      <sharedItems containsSemiMixedTypes="0" containsString="0" containsNumber="1" containsInteger="1" minValue="-6" maxValue="-2"/>
    </cacheField>
    <cacheField name="HUNTERS_Alt_5" numFmtId="2">
      <sharedItems containsSemiMixedTypes="0" containsString="0" containsNumber="1" containsInteger="1" minValue="-12" maxValue="-4"/>
    </cacheField>
    <cacheField name="HUNTERS_Alt_6" numFmtId="2">
      <sharedItems containsSemiMixedTypes="0" containsString="0" containsNumber="1" containsInteger="1" minValue="-12" maxValue="-4"/>
    </cacheField>
    <cacheField name="HUNTERS_Alt_7" numFmtId="2">
      <sharedItems containsSemiMixedTypes="0" containsString="0" containsNumber="1" containsInteger="1" minValue="-12" maxValue="-4"/>
    </cacheField>
    <cacheField name="HUNTERS_Alt_8" numFmtId="2">
      <sharedItems containsSemiMixedTypes="0" containsString="0" containsNumber="1" containsInteger="1" minValue="1" maxValue="3"/>
    </cacheField>
    <cacheField name="HUNTERS_Alt_9" numFmtId="2">
      <sharedItems containsSemiMixedTypes="0" containsString="0" containsNumber="1" containsInteger="1" minValue="-9" maxValue="-3"/>
    </cacheField>
    <cacheField name="HUNTERS_Alt_10" numFmtId="2">
      <sharedItems containsSemiMixedTypes="0" containsString="0" containsNumber="1" containsInteger="1" minValue="2" maxValue="6"/>
    </cacheField>
    <cacheField name="HUNTERS_Alt_11" numFmtId="2">
      <sharedItems containsSemiMixedTypes="0" containsString="0" containsNumber="1" containsInteger="1" minValue="0" maxValue="0"/>
    </cacheField>
    <cacheField name="RANCHERS_Alt_1" numFmtId="2">
      <sharedItems containsSemiMixedTypes="0" containsString="0" containsNumber="1" containsInteger="1" minValue="3" maxValue="9"/>
    </cacheField>
    <cacheField name="RANCHERS_Alt_2" numFmtId="2">
      <sharedItems containsSemiMixedTypes="0" containsString="0" containsNumber="1" containsInteger="1" minValue="1" maxValue="3"/>
    </cacheField>
    <cacheField name="RANCHERS_Alt_3" numFmtId="2">
      <sharedItems containsSemiMixedTypes="0" containsString="0" containsNumber="1" containsInteger="1" minValue="4" maxValue="12"/>
    </cacheField>
    <cacheField name="RANCHERS_Alt_4" numFmtId="2">
      <sharedItems containsSemiMixedTypes="0" containsString="0" containsNumber="1" containsInteger="1" minValue="-12" maxValue="-4"/>
    </cacheField>
    <cacheField name="RANCHERS_Alt_5" numFmtId="2">
      <sharedItems containsSemiMixedTypes="0" containsString="0" containsNumber="1" containsInteger="1" minValue="-12" maxValue="-4"/>
    </cacheField>
    <cacheField name="RANCHERS_Alt_6" numFmtId="2">
      <sharedItems containsSemiMixedTypes="0" containsString="0" containsNumber="1" containsInteger="1" minValue="-12" maxValue="-4"/>
    </cacheField>
    <cacheField name="RANCHERS_Alt_7" numFmtId="2">
      <sharedItems containsSemiMixedTypes="0" containsString="0" containsNumber="1" containsInteger="1" minValue="-12" maxValue="-4"/>
    </cacheField>
    <cacheField name="RANCHERS_Alt_8" numFmtId="2">
      <sharedItems containsSemiMixedTypes="0" containsString="0" containsNumber="1" containsInteger="1" minValue="1" maxValue="3"/>
    </cacheField>
    <cacheField name="RANCHERS_Alt_9" numFmtId="2">
      <sharedItems containsSemiMixedTypes="0" containsString="0" containsNumber="1" containsInteger="1" minValue="-12" maxValue="-4"/>
    </cacheField>
    <cacheField name="RANCHERS_Alt_10" numFmtId="2">
      <sharedItems containsSemiMixedTypes="0" containsString="0" containsNumber="1" containsInteger="1" minValue="2" maxValue="6"/>
    </cacheField>
    <cacheField name="RANCHERS_Alt_11" numFmtId="2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Puu Waawaa"/>
    <s v="Makai"/>
    <n v="488554"/>
    <n v="1"/>
    <n v="802403.49633800006"/>
    <n v="137677.05799999999"/>
    <n v="945878.41916196817"/>
    <n v="802403.49633800006"/>
    <n v="1291900.0540759999"/>
    <n v="1291900.0540759999"/>
    <n v="1994684.9830759999"/>
    <n v="802403.49633800006"/>
    <n v="802403.49633800006"/>
    <n v="578767.946138"/>
    <n v="0"/>
    <n v="0.5296649064092358"/>
    <n v="0.2118659625636943"/>
    <n v="0.5296649064092358"/>
    <n v="0.5296649064092358"/>
    <n v="0.5296649064092358"/>
    <n v="0.52966491121256276"/>
    <n v="0.60123687199147324"/>
    <n v="0.52966491121256276"/>
    <n v="0.52966491121256276"/>
    <n v="0"/>
    <n v="0"/>
    <n v="0"/>
    <n v="0"/>
    <n v="0"/>
    <n v="0"/>
    <n v="0"/>
    <n v="0"/>
    <n v="0"/>
    <n v="0"/>
    <n v="0"/>
    <n v="0"/>
    <n v="0"/>
    <n v="3.6574587507156092E-3"/>
    <n v="2.5286094319702649E-3"/>
    <n v="1.881415531242239E-3"/>
    <n v="4.5454803604522932E-3"/>
    <n v="4.5454803604522932E-3"/>
    <n v="5.4335019872508101E-3"/>
    <n v="8.3517966077524593E-3"/>
    <n v="4.4401080486834226E-3"/>
    <n v="7.2095452067241789E-3"/>
    <n v="4.4401080486834226E-3"/>
    <n v="1.7760432194733691E-3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akai"/>
    <n v="564453"/>
    <n v="2"/>
    <n v="585346.40343599999"/>
    <n v="137677.05799999999"/>
    <n v="702251.94375796814"/>
    <n v="585346.40343599999"/>
    <n v="953029.72347199998"/>
    <n v="953937.32817600004"/>
    <n v="1765902.9686759999"/>
    <n v="586254.00814000005"/>
    <n v="586254.00814000005"/>
    <n v="478274.73753599997"/>
    <n v="0"/>
    <n v="0.79747095561404646"/>
    <n v="0.31898838224561848"/>
    <n v="0.79747095561404646"/>
    <n v="0.79747095561404646"/>
    <n v="0.79747095561404646"/>
    <n v="0.79747095467098494"/>
    <n v="1"/>
    <n v="0.79747095467098494"/>
    <n v="0.79747095467098494"/>
    <n v="0"/>
    <n v="0"/>
    <n v="3.0568155025479612E-3"/>
    <n v="1.929520173397845E-3"/>
    <n v="1.8788255485835269E-3"/>
    <n v="3.645810479530177E-3"/>
    <n v="3.645810479530177E-3"/>
    <n v="4.2348054542905612E-3"/>
    <n v="6.4789447468043852E-3"/>
    <n v="2.944974884911084E-3"/>
    <n v="5.4127954082549947E-3"/>
    <n v="2.944974884911084E-3"/>
    <n v="1.1779899539644341E-3"/>
    <n v="1.328163650190606E-3"/>
    <n v="8.3836219571654827E-4"/>
    <n v="8.1633575745676317E-4"/>
    <n v="1.5840775965575279E-3"/>
    <n v="1.5840775965575279E-3"/>
    <n v="1.839991541959079E-3"/>
    <n v="2.8150534100361379E-3"/>
    <n v="1.279569731834608E-3"/>
    <n v="2.3518194346929221E-3"/>
    <n v="1.279569731834608E-3"/>
    <n v="5.1182789273384308E-4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akai"/>
    <n v="804948"/>
    <n v="3"/>
    <n v="543880.33896800003"/>
    <n v="137677.05799999999"/>
    <n v="655710.1284219682"/>
    <n v="543880.33896800003"/>
    <n v="888292.75133600004"/>
    <n v="890642.26260000002"/>
    <n v="2048559.9606000001"/>
    <n v="546229.850232"/>
    <n v="546229.850232"/>
    <n v="522558.87536800001"/>
    <n v="0"/>
    <n v="0.49385319236683017"/>
    <n v="0.19754127694673199"/>
    <n v="0.49385319236683017"/>
    <n v="0.49385319236683017"/>
    <n v="0.49385319236683017"/>
    <n v="0.49412888224104279"/>
    <n v="0.58139775990950648"/>
    <n v="0.49412888224104279"/>
    <n v="0.49412888224104279"/>
    <n v="0"/>
    <n v="0"/>
    <n v="7.0244944579416456E-3"/>
    <n v="4.9301797003126384E-3"/>
    <n v="3.4905245960483462E-3"/>
    <n v="8.7914793888882979E-3"/>
    <n v="8.7914793888882979E-3"/>
    <n v="1.0560412879248341E-2"/>
    <n v="1.6478178839211498E-2"/>
    <n v="8.8349246547332529E-3"/>
    <n v="1.409438274114164E-2"/>
    <n v="8.8349246547332529E-3"/>
    <n v="3.5339698618933012E-3"/>
    <n v="1.579458641780632E-2"/>
    <n v="1.108551651626192E-2"/>
    <n v="7.8484498359073351E-3"/>
    <n v="1.976765470875582E-2"/>
    <n v="1.976765470875582E-2"/>
    <n v="2.3745104338494791E-2"/>
    <n v="3.7051210053948569E-2"/>
    <n v="1.986534145474747E-2"/>
    <n v="3.1691240920393778E-2"/>
    <n v="1.986534145474747E-2"/>
    <n v="7.9461365818989868E-3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akai"/>
    <n v="704315"/>
    <n v="4"/>
    <n v="460198.98224799999"/>
    <n v="137677.05799999999"/>
    <n v="561785.55898196821"/>
    <n v="460198.98224799999"/>
    <n v="757649.10989600001"/>
    <n v="759681.45033600007"/>
    <n v="1772838.5778359999"/>
    <n v="462231.32268799999"/>
    <n v="462231.32268799999"/>
    <n v="447328.78094800003"/>
    <n v="0"/>
    <n v="0.33064545309026089"/>
    <n v="0.13225818123610431"/>
    <n v="0.33064545309026089"/>
    <n v="0.33064545309026089"/>
    <n v="0.33064545309026089"/>
    <n v="0.33064543719760758"/>
    <n v="0.40876936705325839"/>
    <n v="0.33064543719760758"/>
    <n v="0.33064543719760758"/>
    <n v="0"/>
    <n v="0"/>
    <n v="5.2186239949150006E-3"/>
    <n v="3.9722335243090939E-3"/>
    <n v="2.077317451009844E-3"/>
    <n v="6.7892772668675791E-3"/>
    <n v="6.7892772668675791E-3"/>
    <n v="8.3599304389727642E-3"/>
    <n v="1.356271267901279E-2"/>
    <n v="7.8532663597628907E-3"/>
    <n v="1.1501236982877919E-2"/>
    <n v="7.8532663597628907E-3"/>
    <n v="3.141306543905157E-3"/>
    <n v="6.7555995110419442E-3"/>
    <n v="5.1421253726489273E-3"/>
    <n v="2.6891235639883602E-3"/>
    <n v="8.7888374845687348E-3"/>
    <n v="8.7888374845687348E-3"/>
    <n v="1.082207532884134E-2"/>
    <n v="1.7557167412716328E-2"/>
    <n v="1.016618986763396E-2"/>
    <n v="1.488855127589492E-2"/>
    <n v="1.016618986763396E-2"/>
    <n v="4.0664759470535831E-3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akai"/>
    <n v="2172640"/>
    <n v="5"/>
    <n v="906962.9822219999"/>
    <n v="137677.05799999999"/>
    <n v="1063236.7541299679"/>
    <n v="906962.9822219999"/>
    <n v="1455138.7074440001"/>
    <n v="1467222.1992840001"/>
    <n v="4592564.839284"/>
    <n v="919046.47406199994"/>
    <n v="919046.47406199994"/>
    <n v="1110506.871022"/>
    <n v="0"/>
    <n v="0.40267765212501189"/>
    <n v="0.16107106085000469"/>
    <n v="0.40267765212501189"/>
    <n v="0.40267765212501189"/>
    <n v="0.40267765212501189"/>
    <n v="0.40383330692192232"/>
    <n v="0.56260033082823524"/>
    <n v="0.40383330692192232"/>
    <n v="0.40383330692192232"/>
    <n v="0"/>
    <n v="0"/>
    <n v="4.1116014627030018E-2"/>
    <n v="3.0111089316799431E-2"/>
    <n v="1.834154218371763E-2"/>
    <n v="5.2503250848686213E-2"/>
    <n v="5.2503250848686213E-2"/>
    <n v="6.3943125926994832E-2"/>
    <n v="0.10533650501368549"/>
    <n v="5.6936181108280963E-2"/>
    <n v="8.6717598370307222E-2"/>
    <n v="5.6936181108280963E-2"/>
    <n v="2.277447244331238E-2"/>
    <n v="4.1341202506598979E-2"/>
    <n v="3.0276004433604169E-2"/>
    <n v="1.8441996788324689E-2"/>
    <n v="5.2790805365736132E-2"/>
    <n v="5.2790805365736132E-2"/>
    <n v="6.4293335378740796E-2"/>
    <n v="0.1059134214395699"/>
    <n v="5.7248014295685747E-2"/>
    <n v="8.7192541097015103E-2"/>
    <n v="5.7248014295685747E-2"/>
    <n v="2.28992057182743E-2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akai"/>
    <n v="3072920"/>
    <n v="6"/>
    <n v="958827.22031899996"/>
    <n v="137677.05799999999"/>
    <n v="1121449.5559239681"/>
    <n v="958827.22031899996"/>
    <n v="1536109.346438"/>
    <n v="1537234.3090635999"/>
    <n v="5957629.7290636003"/>
    <n v="959952.1829446"/>
    <n v="959952.1829446"/>
    <n v="1392501.923919"/>
    <n v="0"/>
    <n v="0.6216903970171952"/>
    <n v="0.2486761588068781"/>
    <n v="0.6216903970171952"/>
    <n v="0.6216903970171952"/>
    <n v="0.6216903970171952"/>
    <n v="0.6217441347384387"/>
    <n v="0.85390777875192969"/>
    <n v="0.6217441347384387"/>
    <n v="0.6217441347384387"/>
    <n v="0"/>
    <n v="0"/>
    <n v="5.2853600765785319E-3"/>
    <n v="3.527731975388733E-3"/>
    <n v="2.9293801686496651E-3"/>
    <n v="6.4633500305429662E-3"/>
    <n v="6.4633500305429662E-3"/>
    <n v="7.6415931944904944E-3"/>
    <n v="1.226950881767846E-2"/>
    <n v="5.889949769822168E-3"/>
    <n v="9.9975731024193621E-3"/>
    <n v="5.889949769822168E-3"/>
    <n v="2.3559799079288669E-3"/>
    <n v="1.752193444322233E-2"/>
    <n v="1.169507611788579E-2"/>
    <n v="9.7114305422275702E-3"/>
    <n v="2.142718639371971E-2"/>
    <n v="2.142718639371971E-2"/>
    <n v="2.5333277781579899E-2"/>
    <n v="4.0675663727545101E-2"/>
    <n v="1.95262597524869E-2"/>
    <n v="3.3143781682574647E-2"/>
    <n v="1.95262597524869E-2"/>
    <n v="7.8105039009947613E-3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akai"/>
    <n v="2220560"/>
    <n v="7"/>
    <n v="915650.33113999991"/>
    <n v="137677.05799999999"/>
    <n v="1072987.498365968"/>
    <n v="915650.33113999991"/>
    <n v="1468701.42848"/>
    <n v="1475524.09136"/>
    <n v="4669799.6513599996"/>
    <n v="922472.99401999987"/>
    <n v="922472.99401999987"/>
    <n v="1128842.97114"/>
    <n v="0"/>
    <n v="0.66739252717525432"/>
    <n v="0.26695701087010171"/>
    <n v="0.66739252717525432"/>
    <n v="0.66739252717525432"/>
    <n v="0.66739252717525432"/>
    <n v="0.66739249554227487"/>
    <n v="0.9240034218979255"/>
    <n v="0.66739249554227487"/>
    <n v="0.66739249554227487"/>
    <n v="0"/>
    <n v="0"/>
    <n v="2.566996449445123E-2"/>
    <n v="1.6864729539981319E-2"/>
    <n v="1.4675391590783189E-2"/>
    <n v="3.1167250946285259E-2"/>
    <n v="3.1167250946285259E-2"/>
    <n v="3.6664536702537082E-2"/>
    <n v="5.8799051133429127E-2"/>
    <n v="2.7486432259170121E-2"/>
    <n v="4.7659109606205133E-2"/>
    <n v="2.7486432259170121E-2"/>
    <n v="1.0994572903668049E-2"/>
    <n v="1.2499800855255171E-2"/>
    <n v="8.2121563032575631E-3"/>
    <n v="7.1460742533293346E-3"/>
    <n v="1.517666415621808E-2"/>
    <n v="1.517666415621808E-2"/>
    <n v="1.7853527118472351E-2"/>
    <n v="2.8631766506911249E-2"/>
    <n v="1.3384316504814579E-2"/>
    <n v="2.3207253720398179E-2"/>
    <n v="1.3384316504814579E-2"/>
    <n v="5.3537266019258309E-3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akai"/>
    <n v="1492830"/>
    <n v="8"/>
    <n v="703316.80284100003"/>
    <n v="137677.05799999999"/>
    <n v="834662.7865679682"/>
    <n v="703316.80284100003"/>
    <n v="1137205.544282"/>
    <n v="1177552.766202"/>
    <n v="3324988.721202"/>
    <n v="743664.02476100007"/>
    <n v="743664.02476100007"/>
    <n v="805261.258241"/>
    <n v="0"/>
    <n v="0.5236991159862403"/>
    <n v="0.20947964639449601"/>
    <n v="0.5236991159862403"/>
    <n v="0.5236991159862403"/>
    <n v="0.5236991159862403"/>
    <n v="0.52537476045100939"/>
    <n v="0.73784155649246397"/>
    <n v="0.52537476045100939"/>
    <n v="0.52537476045100939"/>
    <n v="0"/>
    <n v="0"/>
    <n v="0.17365064753002499"/>
    <n v="0.1203494250232735"/>
    <n v="8.8835370844585787E-2"/>
    <n v="0.21605828587274459"/>
    <n v="0.21605828587274459"/>
    <n v="0.25875016471327589"/>
    <n v="0.42201393992688419"/>
    <n v="0.21203819171359811"/>
    <n v="0.34356544139871509"/>
    <n v="0.21203819171359811"/>
    <n v="8.4815276685439228E-2"/>
    <n v="2.965598677374648E-3"/>
    <n v="2.0553225729268202E-3"/>
    <n v="1.51712684074638E-3"/>
    <n v="3.6898345956887821E-3"/>
    <n v="3.6898345956887821E-3"/>
    <n v="4.4189247616337564E-3"/>
    <n v="7.207136857145538E-3"/>
    <n v="3.62117959157067E-3"/>
    <n v="5.8673965982620254E-3"/>
    <n v="3.62117959157067E-3"/>
    <n v="1.448471836628268E-3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akai"/>
    <n v="1715970"/>
    <n v="9"/>
    <n v="827824.478474"/>
    <n v="137677.05799999999"/>
    <n v="974411.11623396806"/>
    <n v="827824.478474"/>
    <n v="1331587.384748"/>
    <n v="1427781.398028"/>
    <n v="3896204.243028"/>
    <n v="924018.49175400008"/>
    <n v="924018.49175400008"/>
    <n v="937815.44907399989"/>
    <n v="0"/>
    <n v="0.33127441275605152"/>
    <n v="0.1325097651024206"/>
    <n v="0.33127441275605152"/>
    <n v="0.33127441275605152"/>
    <n v="0.33127441275605152"/>
    <n v="0.33501021050603552"/>
    <n v="0.44544053652414078"/>
    <n v="0.33501021050603552"/>
    <n v="0.33501021050603552"/>
    <n v="0"/>
    <n v="0"/>
    <n v="0.37863672412286759"/>
    <n v="0.28810152430902131"/>
    <n v="0.15089199968974379"/>
    <n v="0.49250908633942958"/>
    <n v="0.49250908633942958"/>
    <n v="0.60808306501420739"/>
    <n v="1"/>
    <n v="0.56936181108280959"/>
    <n v="0.83582778944733127"/>
    <n v="0.56936181108280959"/>
    <n v="0.22774472443312391"/>
    <n v="3.376103726819378E-2"/>
    <n v="2.568849157923736E-2"/>
    <n v="1.3454242814927349E-2"/>
    <n v="4.3914434494826987E-2"/>
    <n v="4.3914434494826987E-2"/>
    <n v="5.4219555875516003E-2"/>
    <n v="8.9164719419129346E-2"/>
    <n v="5.0766986133166048E-2"/>
    <n v="7.4526350328782423E-2"/>
    <n v="5.0766986133166048E-2"/>
    <n v="2.030679445326642E-2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akai"/>
    <n v="1513710"/>
    <n v="10"/>
    <n v="847549.74657600001"/>
    <n v="137677.05799999999"/>
    <n v="996550.90203796828"/>
    <n v="847549.74657600001"/>
    <n v="1362382.5457520001"/>
    <n v="1362987.6151688001"/>
    <n v="3540459.4501688001"/>
    <n v="848154.81599280005"/>
    <n v="848154.81599280005"/>
    <n v="892070.50797600008"/>
    <n v="0"/>
    <n v="0.26381935452677352"/>
    <n v="0.1055277418107094"/>
    <n v="0.26381935452677352"/>
    <n v="0.26381935452677352"/>
    <n v="0.26381935452677352"/>
    <n v="0.26605521191754838"/>
    <n v="0.34394246718902882"/>
    <n v="0.26605521191754838"/>
    <n v="0.26605521191754838"/>
    <n v="0"/>
    <n v="0"/>
    <n v="1.1996953683681829E-3"/>
    <n v="9.5107412893304663E-4"/>
    <n v="4.1436873239189412E-4"/>
    <n v="1.592358686356328E-3"/>
    <n v="1.592358686356328E-3"/>
    <n v="1.9885337610709118E-3"/>
    <n v="3.288857587370902E-3"/>
    <n v="1.9633165899407231E-3"/>
    <n v="2.7738603970472011E-3"/>
    <n v="1.9633165899407231E-3"/>
    <n v="7.8532663597628914E-4"/>
    <n v="5.3168454039354369E-3"/>
    <n v="4.2149984442281154E-3"/>
    <n v="1.836411599512201E-3"/>
    <n v="7.0570623061470541E-3"/>
    <n v="7.0570623061470541E-3"/>
    <n v="8.8128427156481167E-3"/>
    <n v="1.457565629464417E-2"/>
    <n v="8.7010845110580878E-3"/>
    <n v="1.2293276520071349E-2"/>
    <n v="8.7010845110580878E-3"/>
    <n v="3.4804338044232348E-3"/>
    <n v="3"/>
    <n v="9"/>
    <n v="9"/>
    <n v="3"/>
    <n v="3"/>
    <n v="3"/>
    <n v="9"/>
    <n v="3"/>
    <n v="3"/>
    <n v="6"/>
    <n v="0"/>
    <n v="1"/>
    <n v="1"/>
    <n v="1"/>
    <n v="-2"/>
    <n v="-4"/>
    <n v="-4"/>
    <n v="-4"/>
    <n v="1"/>
    <n v="-3"/>
    <n v="2"/>
    <n v="0"/>
    <n v="3"/>
    <n v="1"/>
    <n v="4"/>
    <n v="-4"/>
    <n v="-4"/>
    <n v="-4"/>
    <n v="-4"/>
    <n v="1"/>
    <n v="-4"/>
    <n v="2"/>
    <n v="0"/>
  </r>
  <r>
    <s v="Puu Waawaa"/>
    <s v="Middle"/>
    <n v="1680430"/>
    <n v="11"/>
    <n v="729595.175927"/>
    <n v="137677.05799999999"/>
    <n v="864157.82553996821"/>
    <n v="729595.175927"/>
    <n v="1178231.436854"/>
    <n v="1179441.5803179999"/>
    <n v="3596740.1353179989"/>
    <n v="730805.31939099997"/>
    <n v="730805.31939099997"/>
    <n v="872705.61772700003"/>
    <n v="0"/>
    <n v="0.1519863742329976"/>
    <n v="6.0794549693199022E-2"/>
    <n v="0.1519863742329976"/>
    <n v="0.1519863742329976"/>
    <n v="0.1519863742329976"/>
    <n v="0.15208305202457839"/>
    <n v="0.155347091358707"/>
    <n v="0.15208305202457839"/>
    <n v="0.15208305202457839"/>
    <n v="0"/>
    <n v="0"/>
    <n v="2.0480890639151118E-3"/>
    <n v="1.761627588737591E-3"/>
    <n v="4.7743579196253338E-4"/>
    <n v="2.8334156998914011E-3"/>
    <n v="2.8334156998914011E-3"/>
    <n v="3.6190460304470328E-3"/>
    <n v="5.9852792864957616E-3"/>
    <n v="3.9266331798814454E-3"/>
    <n v="5.1896993023996113E-3"/>
    <n v="3.9266331798814454E-3"/>
    <n v="1.5706532719525781E-3"/>
    <n v="3.2702594380704428E-4"/>
    <n v="2.8128558225010689E-4"/>
    <n v="7.6233935928229002E-5"/>
    <n v="4.5242194774645201E-4"/>
    <n v="4.5242194774645201E-4"/>
    <n v="5.7786644372079525E-4"/>
    <n v="9.5569164549582134E-4"/>
    <n v="6.2698001969703813E-4"/>
    <n v="8.2865845159961048E-4"/>
    <n v="6.2698001969703813E-4"/>
    <n v="2.5079200787881528E-4"/>
    <n v="1"/>
    <n v="3"/>
    <n v="3"/>
    <n v="1"/>
    <n v="1"/>
    <n v="1"/>
    <n v="3"/>
    <n v="1"/>
    <n v="1"/>
    <n v="2"/>
    <n v="0"/>
    <n v="2"/>
    <n v="2"/>
    <n v="2"/>
    <n v="-4"/>
    <n v="-8"/>
    <n v="-8"/>
    <n v="-8"/>
    <n v="2"/>
    <n v="-6"/>
    <n v="4"/>
    <n v="0"/>
    <n v="6"/>
    <n v="2"/>
    <n v="8"/>
    <n v="-8"/>
    <n v="-8"/>
    <n v="-8"/>
    <n v="-8"/>
    <n v="2"/>
    <n v="-8"/>
    <n v="4"/>
    <n v="0"/>
  </r>
  <r>
    <s v="Puu Waawaa"/>
    <s v="Middle"/>
    <n v="2169210"/>
    <n v="12"/>
    <n v="823798.69819799997"/>
    <n v="137677.05799999999"/>
    <n v="969892.55088196823"/>
    <n v="823798.69819799997"/>
    <n v="1325302.321796"/>
    <n v="1326785.89038"/>
    <n v="4447194.4753799997"/>
    <n v="825282.26678199996"/>
    <n v="825282.26678199996"/>
    <n v="1062871.2823979999"/>
    <n v="0"/>
    <n v="0.27049804947012529"/>
    <n v="0.1081992197880501"/>
    <n v="0.27049804947012529"/>
    <n v="0.27049804947012529"/>
    <n v="0.27049804947012529"/>
    <n v="0.27052037993369932"/>
    <n v="0.31488215293812022"/>
    <n v="0.27052037993369932"/>
    <n v="0.27052037993369932"/>
    <n v="0"/>
    <n v="0"/>
    <n v="3.02546320608333E-3"/>
    <n v="2.3881752363977648E-3"/>
    <n v="1.0621466161426069E-3"/>
    <n v="4.0071215010536896E-3"/>
    <n v="4.0071215010536896E-3"/>
    <n v="4.9888674795632434E-3"/>
    <n v="8.1080347742718568E-3"/>
    <n v="4.9082914748518067E-3"/>
    <n v="6.9521840695039661E-3"/>
    <n v="4.9082914748518067E-3"/>
    <n v="1.9633165899407231E-3"/>
    <n v="2.9447072248924792E-2"/>
    <n v="2.3244298125290469E-2"/>
    <n v="1.0337956872723861E-2"/>
    <n v="3.9001629937025252E-2"/>
    <n v="3.9001629937025252E-2"/>
    <n v="4.855704105593539E-2"/>
    <n v="7.8916142597505415E-2"/>
    <n v="4.7772788440502312E-2"/>
    <n v="6.7666156432136318E-2"/>
    <n v="4.7772788440502312E-2"/>
    <n v="1.9109115376200931E-2"/>
    <n v="1"/>
    <n v="3"/>
    <n v="3"/>
    <n v="1"/>
    <n v="1"/>
    <n v="1"/>
    <n v="3"/>
    <n v="1"/>
    <n v="1"/>
    <n v="2"/>
    <n v="0"/>
    <n v="2"/>
    <n v="2"/>
    <n v="2"/>
    <n v="-4"/>
    <n v="-8"/>
    <n v="-8"/>
    <n v="-8"/>
    <n v="2"/>
    <n v="-6"/>
    <n v="4"/>
    <n v="0"/>
    <n v="6"/>
    <n v="2"/>
    <n v="8"/>
    <n v="-8"/>
    <n v="-8"/>
    <n v="-8"/>
    <n v="-8"/>
    <n v="2"/>
    <n v="-8"/>
    <n v="4"/>
    <n v="0"/>
  </r>
  <r>
    <s v="Puu Waawaa"/>
    <s v="Middle"/>
    <n v="1834730"/>
    <n v="13"/>
    <n v="754935.69521999988"/>
    <n v="137677.05799999999"/>
    <n v="892600.21052596811"/>
    <n v="754935.69521999988"/>
    <n v="1217793.14864"/>
    <n v="1218095.6839272"/>
    <n v="3857354.7889271998"/>
    <n v="755238.23050719989"/>
    <n v="755238.23050719989"/>
    <n v="930269.68021999998"/>
    <n v="0"/>
    <n v="0.38239177925525297"/>
    <n v="0.15295671170210121"/>
    <n v="0.38239177925525297"/>
    <n v="0.38239177925525297"/>
    <n v="0.38239177925525297"/>
    <n v="0.3823917863542613"/>
    <n v="0.45822641124434821"/>
    <n v="0.3823917863542613"/>
    <n v="0.3823917863542613"/>
    <n v="0"/>
    <n v="0"/>
    <n v="6.9296576761566019E-4"/>
    <n v="5.1278429783915076E-4"/>
    <n v="3.0030244962751562E-4"/>
    <n v="8.8929742660973196E-4"/>
    <n v="8.8929742660973229E-4"/>
    <n v="1.0856290911788449E-3"/>
    <n v="1.7341790190165171E-3"/>
    <n v="9.8165829497036134E-4"/>
    <n v="1.47829240916699E-3"/>
    <n v="9.8165829497036134E-4"/>
    <n v="3.9266331798814462E-4"/>
    <n v="1.106504259997601E-3"/>
    <n v="8.1879659361989597E-4"/>
    <n v="4.7951277729617488E-4"/>
    <n v="1.4200000013483141E-3"/>
    <n v="1.4200000013483141E-3"/>
    <n v="1.733495751601062E-3"/>
    <n v="2.769078303453085E-3"/>
    <n v="1.5674787067535649E-3"/>
    <n v="2.3604872343024881E-3"/>
    <n v="1.5674787067535649E-3"/>
    <n v="6.2699148270142595E-4"/>
    <n v="1"/>
    <n v="3"/>
    <n v="3"/>
    <n v="1"/>
    <n v="1"/>
    <n v="1"/>
    <n v="3"/>
    <n v="1"/>
    <n v="1"/>
    <n v="2"/>
    <n v="0"/>
    <n v="2"/>
    <n v="2"/>
    <n v="2"/>
    <n v="-4"/>
    <n v="-8"/>
    <n v="-8"/>
    <n v="-8"/>
    <n v="2"/>
    <n v="-6"/>
    <n v="4"/>
    <n v="0"/>
    <n v="6"/>
    <n v="2"/>
    <n v="8"/>
    <n v="-8"/>
    <n v="-8"/>
    <n v="-8"/>
    <n v="-8"/>
    <n v="2"/>
    <n v="-8"/>
    <n v="4"/>
    <n v="0"/>
  </r>
  <r>
    <s v="Puu Waawaa"/>
    <s v="Middle"/>
    <n v="1416020"/>
    <n v="14"/>
    <n v="675791.91521999985"/>
    <n v="137677.05799999999"/>
    <n v="803768.65052596806"/>
    <n v="675791.91521999985"/>
    <n v="1094233.58864"/>
    <n v="1094838.6580568"/>
    <n v="3131783.4280567998"/>
    <n v="676396.9846367999"/>
    <n v="676396.9846367999"/>
    <n v="768238.26121999999"/>
    <n v="0"/>
    <n v="0.32459972225690842"/>
    <n v="0.12983988890276341"/>
    <n v="0.32459972225690842"/>
    <n v="0.32459972225690842"/>
    <n v="0.32459972225690842"/>
    <n v="0.32459972011139843"/>
    <n v="0.34859518982171978"/>
    <n v="0.32459972011139843"/>
    <n v="0.32459972011139843"/>
    <n v="0"/>
    <n v="0"/>
    <n v="1.2951602518140001E-3"/>
    <n v="9.8926008231137348E-4"/>
    <n v="5.0983361583771124E-4"/>
    <n v="1.6878235698021451E-3"/>
    <n v="1.6878235698021451E-3"/>
    <n v="2.0804868844204369E-3"/>
    <n v="3.2961654013974259E-3"/>
    <n v="1.9633165899407231E-3"/>
    <n v="2.8658135203967262E-3"/>
    <n v="1.9633165899407231E-3"/>
    <n v="7.8532663597628914E-4"/>
    <n v="2.9577511300578129E-2"/>
    <n v="2.2591684096847611E-2"/>
    <n v="1.1643045339550861E-2"/>
    <n v="3.8544744281091767E-2"/>
    <n v="3.8544744281091767E-2"/>
    <n v="4.7511977184648252E-2"/>
    <n v="7.5274367995666405E-2"/>
    <n v="4.4836164902568178E-2"/>
    <n v="6.544644314567552E-2"/>
    <n v="4.4836164902568178E-2"/>
    <n v="1.7934465961027268E-2"/>
    <n v="1"/>
    <n v="3"/>
    <n v="3"/>
    <n v="1"/>
    <n v="1"/>
    <n v="1"/>
    <n v="3"/>
    <n v="1"/>
    <n v="1"/>
    <n v="2"/>
    <n v="0"/>
    <n v="2"/>
    <n v="2"/>
    <n v="2"/>
    <n v="-4"/>
    <n v="-8"/>
    <n v="-8"/>
    <n v="-8"/>
    <n v="2"/>
    <n v="-6"/>
    <n v="4"/>
    <n v="0"/>
    <n v="6"/>
    <n v="2"/>
    <n v="8"/>
    <n v="-8"/>
    <n v="-8"/>
    <n v="-8"/>
    <n v="-8"/>
    <n v="2"/>
    <n v="-8"/>
    <n v="4"/>
    <n v="0"/>
  </r>
  <r>
    <s v="Puu Waawaa"/>
    <s v="Middle"/>
    <n v="550609"/>
    <n v="15"/>
    <n v="543938.37774000003"/>
    <n v="137677.05799999999"/>
    <n v="655775.27156596829"/>
    <n v="543938.37774000003"/>
    <n v="888383.36168000009"/>
    <n v="888383.36168000009"/>
    <n v="1680434.40818"/>
    <n v="543938.37774000003"/>
    <n v="543938.37774000003"/>
    <n v="451147.62183999998"/>
    <n v="0"/>
    <n v="0.29042280042636093"/>
    <n v="0.1161691201705443"/>
    <n v="0.29042280042636093"/>
    <n v="0.29042280042636093"/>
    <n v="0.29042280042636093"/>
    <n v="0.29042280930155823"/>
    <n v="0.32209813171599222"/>
    <n v="0.29042280930155823"/>
    <n v="0.29042280930155823"/>
    <n v="0"/>
    <n v="0"/>
    <n v="0"/>
    <n v="0"/>
    <n v="0"/>
    <n v="0"/>
    <n v="0"/>
    <n v="0"/>
    <n v="0"/>
    <n v="0"/>
    <n v="0"/>
    <n v="0"/>
    <n v="0"/>
    <n v="1.6352348519402461E-2"/>
    <n v="1.2747370387705591E-2"/>
    <n v="6.0082968861614539E-3"/>
    <n v="2.1524374336022969E-2"/>
    <n v="2.1524374336022969E-2"/>
    <n v="2.6696400336254471E-2"/>
    <n v="4.2867780127224919E-2"/>
    <n v="2.5860129083102531E-2"/>
    <n v="3.7040451969495493E-2"/>
    <n v="2.5860129083102531E-2"/>
    <n v="1.034405163324101E-2"/>
    <n v="1"/>
    <n v="3"/>
    <n v="3"/>
    <n v="1"/>
    <n v="1"/>
    <n v="1"/>
    <n v="3"/>
    <n v="1"/>
    <n v="1"/>
    <n v="2"/>
    <n v="0"/>
    <n v="2"/>
    <n v="2"/>
    <n v="2"/>
    <n v="-4"/>
    <n v="-8"/>
    <n v="-8"/>
    <n v="-8"/>
    <n v="2"/>
    <n v="-6"/>
    <n v="4"/>
    <n v="0"/>
    <n v="6"/>
    <n v="2"/>
    <n v="8"/>
    <n v="-8"/>
    <n v="-8"/>
    <n v="-8"/>
    <n v="-8"/>
    <n v="2"/>
    <n v="-8"/>
    <n v="4"/>
    <n v="0"/>
  </r>
  <r>
    <s v="Puu Waawaa"/>
    <s v="Mauka"/>
    <n v="2767080"/>
    <n v="16"/>
    <n v="636805.09885000007"/>
    <n v="137677.05799999999"/>
    <n v="1167992.8517859681"/>
    <n v="636805.09885000007"/>
    <n v="1237358.8729000001"/>
    <n v="1237695.8008077999"/>
    <n v="2053707.6928077999"/>
    <n v="637142.02675780002"/>
    <n v="637142.02675780002"/>
    <n v="863610.13584999996"/>
    <n v="0"/>
    <n v="0.1461582552926228"/>
    <n v="5.8463302117049122E-2"/>
    <n v="0.1461582552926228"/>
    <n v="0.1461582552926228"/>
    <n v="0.1461582552926228"/>
    <n v="0.1461745408432582"/>
    <n v="0.114020826655028"/>
    <n v="0.1461745408432582"/>
    <n v="0.1461745408432582"/>
    <n v="0"/>
    <n v="0"/>
    <n v="1.0148905778745269E-3"/>
    <n v="8.7715221273558432E-4"/>
    <n v="2.2956394189823829E-4"/>
    <n v="1.407553895862672E-3"/>
    <n v="1.407553895862672E-3"/>
    <n v="1.800242792804208E-3"/>
    <n v="2.9277304103734691E-3"/>
    <n v="1.9633165899407231E-3"/>
    <n v="2.585569428780497E-3"/>
    <n v="1.9633165899407231E-3"/>
    <n v="7.8532663597628914E-4"/>
    <n v="5.2287130595347221E-3"/>
    <n v="4.519085436319176E-3"/>
    <n v="1.1827127053592439E-3"/>
    <n v="7.2517132366224629E-3"/>
    <n v="7.2517132366224629E-3"/>
    <n v="9.2748451963974802E-3"/>
    <n v="1.508365784967342E-2"/>
    <n v="1.0115000885438701E-2"/>
    <n v="1.332084555057296E-2"/>
    <n v="1.0115000885438701E-2"/>
    <n v="4.046000354175479E-3"/>
    <n v="2"/>
    <n v="6"/>
    <n v="6"/>
    <n v="2"/>
    <n v="2"/>
    <n v="2"/>
    <n v="6"/>
    <n v="2"/>
    <n v="2"/>
    <n v="4"/>
    <n v="0"/>
    <n v="3"/>
    <n v="3"/>
    <n v="3"/>
    <n v="-6"/>
    <n v="-12"/>
    <n v="-12"/>
    <n v="-12"/>
    <n v="3"/>
    <n v="-9"/>
    <n v="6"/>
    <n v="0"/>
    <n v="9"/>
    <n v="3"/>
    <n v="12"/>
    <n v="-12"/>
    <n v="-12"/>
    <n v="-12"/>
    <n v="-12"/>
    <n v="3"/>
    <n v="-12"/>
    <n v="6"/>
    <n v="0"/>
  </r>
  <r>
    <s v="Puu Waawaa"/>
    <s v="Mauka"/>
    <n v="2300660"/>
    <n v="17"/>
    <n v="602616.79773400002"/>
    <n v="137677.05799999999"/>
    <n v="1106799.751153968"/>
    <n v="602616.79773400002"/>
    <n v="1172574.021468"/>
    <n v="1174764.056414"/>
    <n v="1853228.6904140001"/>
    <n v="604806.83267999999"/>
    <n v="604806.83267999999"/>
    <n v="780587.97753399995"/>
    <n v="0"/>
    <n v="0.2599672965709881"/>
    <n v="0.10398691862839519"/>
    <n v="0.2599672965709881"/>
    <n v="0.2599672965709881"/>
    <n v="0.2599672965709881"/>
    <n v="0.25997736288743611"/>
    <n v="0.18307740018057919"/>
    <n v="0.25997736288743611"/>
    <n v="0.25997736288743611"/>
    <n v="0"/>
    <n v="0"/>
    <n v="7.7586932860851561E-3"/>
    <n v="6.1662511947415894E-3"/>
    <n v="2.654070152239276E-3"/>
    <n v="1.03110048530081E-2"/>
    <n v="1.03110048530081E-2"/>
    <n v="1.286341918943466E-2"/>
    <n v="1.9735263232952861E-2"/>
    <n v="1.27615578346147E-2"/>
    <n v="1.7968042323280541E-2"/>
    <n v="1.27615578346147E-2"/>
    <n v="5.1046231338458788E-3"/>
    <n v="1.8079458706484121E-2"/>
    <n v="1.4368719027607059E-2"/>
    <n v="6.1845661314617606E-3"/>
    <n v="2.4026904993995301E-2"/>
    <n v="2.4026904993995301E-2"/>
    <n v="2.9974590757012028E-2"/>
    <n v="4.5987496028702987E-2"/>
    <n v="2.973723143755589E-2"/>
    <n v="4.1869483332034392E-2"/>
    <n v="2.973723143755589E-2"/>
    <n v="1.189489257502236E-2"/>
    <n v="2"/>
    <n v="6"/>
    <n v="6"/>
    <n v="2"/>
    <n v="2"/>
    <n v="2"/>
    <n v="6"/>
    <n v="2"/>
    <n v="2"/>
    <n v="4"/>
    <n v="0"/>
    <n v="3"/>
    <n v="3"/>
    <n v="3"/>
    <n v="-6"/>
    <n v="-12"/>
    <n v="-12"/>
    <n v="-12"/>
    <n v="3"/>
    <n v="-9"/>
    <n v="6"/>
    <n v="0"/>
    <n v="9"/>
    <n v="3"/>
    <n v="12"/>
    <n v="-12"/>
    <n v="-12"/>
    <n v="-12"/>
    <n v="-12"/>
    <n v="3"/>
    <n v="-12"/>
    <n v="6"/>
    <n v="0"/>
  </r>
  <r>
    <s v="Puu Waawaa"/>
    <s v="Mauka"/>
    <n v="2575060"/>
    <n v="18"/>
    <n v="668248.04596899997"/>
    <n v="137677.05799999999"/>
    <n v="1224272.0866239681"/>
    <n v="668248.04596899997"/>
    <n v="1296941.437438"/>
    <n v="1300119.895578"/>
    <n v="2059505.0895779999"/>
    <n v="671426.50410899997"/>
    <n v="671426.50410899997"/>
    <n v="870166.70526900003"/>
    <n v="0"/>
    <n v="0.31823073451796841"/>
    <n v="0.12729229380718729"/>
    <n v="0.31823073451796841"/>
    <n v="0.31823073451796841"/>
    <n v="0.31823073451796841"/>
    <n v="0.31834871092706563"/>
    <n v="0.23095282379891591"/>
    <n v="0.31834871092706563"/>
    <n v="0.31834871092706563"/>
    <n v="0"/>
    <n v="0"/>
    <n v="1.349414619401949E-2"/>
    <n v="1.034521628425842E-2"/>
    <n v="5.2482165162684533E-3"/>
    <n v="1.7617111032895E-2"/>
    <n v="1.7617111032895E-2"/>
    <n v="2.1742021522116621E-2"/>
    <n v="3.2669595359976399E-2"/>
    <n v="2.0614824194377591E-2"/>
    <n v="2.9987951199867659E-2"/>
    <n v="2.0614824194377591E-2"/>
    <n v="8.2459296777510349E-3"/>
    <n v="0.10989566160950121"/>
    <n v="8.4250931604389193E-2"/>
    <n v="4.2741216675186752E-2"/>
    <n v="0.14347288407665851"/>
    <n v="0.14347288407665851"/>
    <n v="0.17706595182435231"/>
    <n v="0.26605957464655827"/>
    <n v="0.16788611233578629"/>
    <n v="0.2442203967586668"/>
    <n v="0.16788611233578629"/>
    <n v="6.7154444934314508E-2"/>
    <n v="2"/>
    <n v="6"/>
    <n v="6"/>
    <n v="2"/>
    <n v="2"/>
    <n v="2"/>
    <n v="6"/>
    <n v="2"/>
    <n v="2"/>
    <n v="4"/>
    <n v="0"/>
    <n v="3"/>
    <n v="3"/>
    <n v="3"/>
    <n v="-6"/>
    <n v="-12"/>
    <n v="-12"/>
    <n v="-12"/>
    <n v="3"/>
    <n v="-9"/>
    <n v="6"/>
    <n v="0"/>
    <n v="9"/>
    <n v="3"/>
    <n v="12"/>
    <n v="-12"/>
    <n v="-12"/>
    <n v="-12"/>
    <n v="-12"/>
    <n v="3"/>
    <n v="-12"/>
    <n v="6"/>
    <n v="0"/>
  </r>
  <r>
    <s v="Puu Waawaa"/>
    <s v="Mauka"/>
    <n v="2628580"/>
    <n v="19"/>
    <n v="601253.63311000005"/>
    <n v="137677.05799999999"/>
    <n v="1104359.8443059679"/>
    <n v="601253.63311000005"/>
    <n v="1169990.9034200001"/>
    <n v="1174009.7717019999"/>
    <n v="1949178.013702"/>
    <n v="605272.50139200001"/>
    <n v="605272.50139200001"/>
    <n v="816226.23210999998"/>
    <n v="0"/>
    <n v="0.32031311646020688"/>
    <n v="0.12812524658408281"/>
    <n v="0.32031311646020688"/>
    <n v="0.32031311646020688"/>
    <n v="0.32031311646020688"/>
    <n v="0.32047890971508458"/>
    <n v="0.29607946089607567"/>
    <n v="0.32047890971508458"/>
    <n v="0.32047890971508458"/>
    <n v="0"/>
    <n v="0"/>
    <n v="1.803798472551376E-2"/>
    <n v="1.381193763240633E-2"/>
    <n v="7.0434118218457168E-3"/>
    <n v="2.3535271177347789E-2"/>
    <n v="2.3535271177347789E-2"/>
    <n v="2.903620328123719E-2"/>
    <n v="4.499153959903944E-2"/>
    <n v="2.7486432259170121E-2"/>
    <n v="4.0030776184905227E-2"/>
    <n v="2.7486432259170121E-2"/>
    <n v="1.0994572903668049E-2"/>
    <n v="0.2386355499166426"/>
    <n v="0.1827265840657695"/>
    <n v="9.3181609751455244E-2"/>
    <n v="0.31136251999923631"/>
    <n v="0.31136251999923631"/>
    <n v="0.38413772064617963"/>
    <n v="0.59522063895679334"/>
    <n v="0.36363485041296839"/>
    <n v="0.52959166081136699"/>
    <n v="0.36363485041296839"/>
    <n v="0.1454539401651874"/>
    <n v="2"/>
    <n v="6"/>
    <n v="6"/>
    <n v="2"/>
    <n v="2"/>
    <n v="2"/>
    <n v="6"/>
    <n v="2"/>
    <n v="2"/>
    <n v="4"/>
    <n v="0"/>
    <n v="3"/>
    <n v="3"/>
    <n v="3"/>
    <n v="-6"/>
    <n v="-12"/>
    <n v="-12"/>
    <n v="-12"/>
    <n v="3"/>
    <n v="-9"/>
    <n v="6"/>
    <n v="0"/>
    <n v="9"/>
    <n v="3"/>
    <n v="12"/>
    <n v="-12"/>
    <n v="-12"/>
    <n v="-12"/>
    <n v="-12"/>
    <n v="3"/>
    <n v="-12"/>
    <n v="6"/>
    <n v="0"/>
  </r>
  <r>
    <s v="Puu Waawaa"/>
    <s v="Mauka"/>
    <n v="776032"/>
    <n v="20"/>
    <n v="351195.64090599999"/>
    <n v="137677.05799999999"/>
    <n v="656784.99029796815"/>
    <n v="351195.64090599999"/>
    <n v="696145.48421199992"/>
    <n v="696958.67289599997"/>
    <n v="925810.50969599991"/>
    <n v="352008.82958999998"/>
    <n v="352008.82958999998"/>
    <n v="384212.40990600002"/>
    <n v="0"/>
    <n v="0.31374597076617838"/>
    <n v="0.12549838830647139"/>
    <n v="0.31374597076617838"/>
    <n v="0.31374597076617838"/>
    <n v="0.31374597076617838"/>
    <n v="0.31413967361243439"/>
    <n v="0.32894253753923042"/>
    <n v="0.31413967361243439"/>
    <n v="0.31413967361243439"/>
    <n v="0"/>
    <n v="0"/>
    <n v="3.1952819288053129E-3"/>
    <n v="2.4561027254865588E-3"/>
    <n v="1.23196533886459E-3"/>
    <n v="4.1769402237756747E-3"/>
    <n v="4.1769402237756747E-3"/>
    <n v="5.1601444454051583E-3"/>
    <n v="8.1632447469684698E-3"/>
    <n v="4.9082914748518067E-3"/>
    <n v="7.1234610353458801E-3"/>
    <n v="4.9082914748518067E-3"/>
    <n v="1.9633165899407231E-3"/>
    <n v="1.428590458202304E-3"/>
    <n v="1.0981080844114019E-3"/>
    <n v="5.508039563181708E-4"/>
    <n v="1.8674837091443709E-3"/>
    <n v="1.8674837091443709E-3"/>
    <n v="2.3070681341748312E-3"/>
    <n v="3.6497353952893701E-3"/>
    <n v="2.1944662547103331E-3"/>
    <n v="3.184854636058965E-3"/>
    <n v="2.1944662547103331E-3"/>
    <n v="8.777865018841334E-4"/>
    <n v="2"/>
    <n v="6"/>
    <n v="6"/>
    <n v="2"/>
    <n v="2"/>
    <n v="2"/>
    <n v="6"/>
    <n v="2"/>
    <n v="2"/>
    <n v="4"/>
    <n v="0"/>
    <n v="3"/>
    <n v="3"/>
    <n v="3"/>
    <n v="-6"/>
    <n v="-12"/>
    <n v="-12"/>
    <n v="-12"/>
    <n v="3"/>
    <n v="-9"/>
    <n v="6"/>
    <n v="0"/>
    <n v="9"/>
    <n v="3"/>
    <n v="12"/>
    <n v="-12"/>
    <n v="-12"/>
    <n v="-12"/>
    <n v="-12"/>
    <n v="3"/>
    <n v="-12"/>
    <n v="6"/>
    <n v="0"/>
  </r>
  <r>
    <s v="Puu Waawaa"/>
    <s v="Mauka"/>
    <n v="2874160"/>
    <n v="21"/>
    <n v="627694.72556799999"/>
    <n v="137677.05799999999"/>
    <n v="1151686.338421968"/>
    <n v="627694.72556799999"/>
    <n v="1220095.242936"/>
    <n v="1222477.4718180001"/>
    <n v="2070067.2558180001"/>
    <n v="630076.95444999996"/>
    <n v="630076.95444999996"/>
    <n v="867492.67116799997"/>
    <n v="0"/>
    <n v="0.42371885810937499"/>
    <n v="0.1694875432437499"/>
    <n v="0.42371885810937499"/>
    <n v="0.42371885810937499"/>
    <n v="0.42371885810937499"/>
    <n v="0.42372524790298371"/>
    <n v="0.44272070952068721"/>
    <n v="0.42372524790298371"/>
    <n v="0.42372524790298371"/>
    <n v="0"/>
    <n v="0"/>
    <n v="1.160673637483031E-2"/>
    <n v="8.4122624026183122E-3"/>
    <n v="5.3241232870200007E-3"/>
    <n v="1.4748042918735471E-2"/>
    <n v="1.4748042918735471E-2"/>
    <n v="1.7889429751842531E-2"/>
    <n v="2.7552031655094771E-2"/>
    <n v="1.5706532719525781E-2"/>
    <n v="2.4172042839652848E-2"/>
    <n v="1.5706532719525781E-2"/>
    <n v="6.2826130878103131E-3"/>
    <n v="0.42126608012531302"/>
    <n v="0.30532276196273761"/>
    <n v="0.19323886360429229"/>
    <n v="0.5352796883858234"/>
    <n v="0.5352796883858234"/>
    <n v="0.64929621074003518"/>
    <n v="1"/>
    <n v="0.57006804130255195"/>
    <n v="0.87732342726105594"/>
    <n v="0.57006804130255195"/>
    <n v="0.22802721652102079"/>
    <n v="2"/>
    <n v="6"/>
    <n v="6"/>
    <n v="2"/>
    <n v="2"/>
    <n v="2"/>
    <n v="6"/>
    <n v="2"/>
    <n v="2"/>
    <n v="4"/>
    <n v="0"/>
    <n v="3"/>
    <n v="3"/>
    <n v="3"/>
    <n v="-6"/>
    <n v="-12"/>
    <n v="-12"/>
    <n v="-12"/>
    <n v="3"/>
    <n v="-9"/>
    <n v="6"/>
    <n v="0"/>
    <n v="9"/>
    <n v="3"/>
    <n v="12"/>
    <n v="-12"/>
    <n v="-12"/>
    <n v="-12"/>
    <n v="-12"/>
    <n v="3"/>
    <n v="-12"/>
    <n v="6"/>
    <n v="0"/>
  </r>
  <r>
    <s v="Puu Waawaa"/>
    <s v="Mauka"/>
    <n v="3550930"/>
    <n v="22"/>
    <n v="652397.94856299995"/>
    <n v="137677.05799999999"/>
    <n v="1195902.247411968"/>
    <n v="652397.94856299995"/>
    <n v="1266906.4204259999"/>
    <n v="1267917.2047939999"/>
    <n v="2315086.4617940001"/>
    <n v="653408.73293099995"/>
    <n v="653408.73293099995"/>
    <n v="965669.5736629999"/>
    <n v="0"/>
    <n v="0.43846767961694327"/>
    <n v="0.17538707184677721"/>
    <n v="0.43846767961694327"/>
    <n v="0.43846767961694327"/>
    <n v="0.43846767961694327"/>
    <n v="0.43846767664764658"/>
    <n v="0.55906795263367903"/>
    <n v="0.43846767664764658"/>
    <n v="0.43846767664764658"/>
    <n v="0"/>
    <n v="0"/>
    <n v="4.4220219948362879E-3"/>
    <n v="3.1823967426918352E-3"/>
    <n v="2.0660420869074211E-3"/>
    <n v="5.6000119488007214E-3"/>
    <n v="5.6000119488007214E-3"/>
    <n v="6.7780018887739482E-3"/>
    <n v="1.088023540489479E-2"/>
    <n v="5.889949769822168E-3"/>
    <n v="9.1339817967028159E-3"/>
    <n v="5.889949769822168E-3"/>
    <n v="2.3559799079288669E-3"/>
    <n v="0.1119755416347397"/>
    <n v="8.058544244593753E-2"/>
    <n v="5.2316831981336923E-2"/>
    <n v="0.14180489646144109"/>
    <n v="0.14180489646144109"/>
    <n v="0.1716342509338537"/>
    <n v="0.27551202911229983"/>
    <n v="0.14914677413350699"/>
    <n v="0.2312929605872564"/>
    <n v="0.14914677413350699"/>
    <n v="5.9658709653402787E-2"/>
    <n v="2"/>
    <n v="6"/>
    <n v="6"/>
    <n v="2"/>
    <n v="2"/>
    <n v="2"/>
    <n v="6"/>
    <n v="2"/>
    <n v="2"/>
    <n v="4"/>
    <n v="0"/>
    <n v="3"/>
    <n v="3"/>
    <n v="3"/>
    <n v="-6"/>
    <n v="-12"/>
    <n v="-12"/>
    <n v="-12"/>
    <n v="3"/>
    <n v="-9"/>
    <n v="6"/>
    <n v="0"/>
    <n v="9"/>
    <n v="3"/>
    <n v="12"/>
    <n v="-12"/>
    <n v="-12"/>
    <n v="-12"/>
    <n v="-12"/>
    <n v="3"/>
    <n v="-12"/>
    <n v="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73285-E366-AE45-9082-C62E379804F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" firstHeaderRow="0" firstDataRow="1" firstDataCol="0"/>
  <pivotFields count="81"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COST_Alt_11" fld="14" baseField="0" baseItem="0" numFmtId="2"/>
    <dataField name="Sum of RANCHERS_Alt_11" fld="80" baseField="0" baseItem="0" numFmtId="2"/>
    <dataField name="Sum of HUNTERS_Alt_11" fld="69" baseField="0" baseItem="0" numFmtId="2"/>
    <dataField name="Sum of COMMUNITY_Alt_11" fld="58" baseField="0" baseItem="0" numFmtId="2"/>
    <dataField name="Sum of FOREST_Alt_11" fld="47" baseField="0" baseItem="0" numFmtId="2"/>
    <dataField name="Sum of R&amp;E_Alt_11" fld="36" baseField="0" baseItem="0" numFmtId="2"/>
    <dataField name="Sum of FIRE_Alt_11" fld="2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36"/>
  <sheetViews>
    <sheetView tabSelected="1" zoomScale="83" workbookViewId="0">
      <selection activeCell="E35" sqref="E35"/>
    </sheetView>
  </sheetViews>
  <sheetFormatPr baseColWidth="10" defaultColWidth="8.83203125" defaultRowHeight="15" x14ac:dyDescent="0.2"/>
  <cols>
    <col min="2" max="2" width="18.6640625" bestFit="1" customWidth="1"/>
    <col min="3" max="3" width="12.5" customWidth="1"/>
    <col min="4" max="4" width="18.6640625" customWidth="1"/>
    <col min="5" max="5" width="18.5" customWidth="1"/>
    <col min="6" max="14" width="10.6640625" customWidth="1"/>
    <col min="15" max="15" width="16.1640625" customWidth="1"/>
  </cols>
  <sheetData>
    <row r="1" spans="2:89" x14ac:dyDescent="0.2">
      <c r="F1" s="13" t="s">
        <v>0</v>
      </c>
      <c r="G1" s="14"/>
      <c r="H1" s="14"/>
      <c r="I1" s="14"/>
      <c r="J1" s="14"/>
      <c r="K1" s="14"/>
      <c r="L1" s="14"/>
      <c r="M1" s="14"/>
      <c r="N1" s="14"/>
      <c r="O1" s="14"/>
      <c r="P1" s="14"/>
      <c r="R1" s="13" t="s">
        <v>1</v>
      </c>
      <c r="S1" s="14"/>
      <c r="T1" s="14"/>
      <c r="U1" s="14"/>
      <c r="V1" s="14"/>
      <c r="W1" s="14"/>
      <c r="X1" s="14"/>
      <c r="Y1" s="14"/>
      <c r="Z1" s="14"/>
      <c r="AA1" s="14"/>
      <c r="AB1" s="14"/>
      <c r="AD1" s="13" t="s">
        <v>2</v>
      </c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"/>
      <c r="AP1" s="1"/>
      <c r="AQ1" s="1"/>
      <c r="AR1" s="1"/>
      <c r="AT1" s="1"/>
      <c r="AV1" s="1" t="s">
        <v>3</v>
      </c>
      <c r="AW1" s="1"/>
      <c r="AX1" s="1"/>
      <c r="AY1" s="1"/>
      <c r="AZ1" s="1"/>
      <c r="BA1" s="1"/>
      <c r="BC1" s="13" t="s">
        <v>4</v>
      </c>
      <c r="BD1" s="14"/>
      <c r="BE1" s="14"/>
      <c r="BF1" s="14"/>
      <c r="BG1" s="14"/>
      <c r="BH1" s="14"/>
      <c r="BI1" s="14"/>
      <c r="BJ1" s="14"/>
      <c r="BK1" s="14"/>
      <c r="BL1" s="14"/>
      <c r="BM1" s="14"/>
      <c r="BO1" s="13" t="s">
        <v>5</v>
      </c>
      <c r="BP1" s="14"/>
      <c r="BQ1" s="14"/>
      <c r="BR1" s="14"/>
      <c r="BS1" s="14"/>
      <c r="BT1" s="14"/>
      <c r="BU1" s="14"/>
      <c r="BV1" s="14"/>
      <c r="BW1" s="14"/>
      <c r="BX1" s="14"/>
      <c r="BY1" s="14"/>
      <c r="CA1" s="13" t="s">
        <v>6</v>
      </c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2:89" x14ac:dyDescent="0.2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D2" t="s">
        <v>11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  <c r="AN2" t="s">
        <v>21</v>
      </c>
      <c r="AQ2" t="s">
        <v>11</v>
      </c>
      <c r="AR2" t="s">
        <v>12</v>
      </c>
      <c r="AS2" t="s">
        <v>13</v>
      </c>
      <c r="AT2" t="s">
        <v>14</v>
      </c>
      <c r="AU2" t="s">
        <v>15</v>
      </c>
      <c r="AV2" t="s">
        <v>16</v>
      </c>
      <c r="AW2" t="s">
        <v>17</v>
      </c>
      <c r="AX2" t="s">
        <v>18</v>
      </c>
      <c r="AY2" t="s">
        <v>19</v>
      </c>
      <c r="AZ2" t="s">
        <v>20</v>
      </c>
      <c r="BA2" t="s">
        <v>21</v>
      </c>
      <c r="BC2" t="s">
        <v>11</v>
      </c>
      <c r="BD2" t="s">
        <v>12</v>
      </c>
      <c r="BE2" t="s">
        <v>13</v>
      </c>
      <c r="BF2" t="s">
        <v>14</v>
      </c>
      <c r="BG2" t="s">
        <v>15</v>
      </c>
      <c r="BH2" t="s">
        <v>16</v>
      </c>
      <c r="BI2" t="s">
        <v>17</v>
      </c>
      <c r="BJ2" t="s">
        <v>18</v>
      </c>
      <c r="BK2" t="s">
        <v>19</v>
      </c>
      <c r="BL2" t="s">
        <v>20</v>
      </c>
      <c r="BM2" t="s">
        <v>21</v>
      </c>
      <c r="BO2" t="s">
        <v>11</v>
      </c>
      <c r="BP2" t="s">
        <v>12</v>
      </c>
      <c r="BQ2" t="s">
        <v>13</v>
      </c>
      <c r="BR2" t="s">
        <v>14</v>
      </c>
      <c r="BS2" t="s">
        <v>15</v>
      </c>
      <c r="BT2" t="s">
        <v>16</v>
      </c>
      <c r="BU2" t="s">
        <v>17</v>
      </c>
      <c r="BV2" t="s">
        <v>18</v>
      </c>
      <c r="BW2" t="s">
        <v>19</v>
      </c>
      <c r="BX2" t="s">
        <v>20</v>
      </c>
      <c r="BY2" t="s">
        <v>21</v>
      </c>
      <c r="CA2" t="s">
        <v>11</v>
      </c>
      <c r="CB2" t="s">
        <v>12</v>
      </c>
      <c r="CC2" t="s">
        <v>13</v>
      </c>
      <c r="CD2" t="s">
        <v>14</v>
      </c>
      <c r="CE2" t="s">
        <v>15</v>
      </c>
      <c r="CF2" t="s">
        <v>16</v>
      </c>
      <c r="CG2" t="s">
        <v>17</v>
      </c>
      <c r="CH2" t="s">
        <v>18</v>
      </c>
      <c r="CI2" t="s">
        <v>19</v>
      </c>
      <c r="CJ2" t="s">
        <v>20</v>
      </c>
      <c r="CK2" t="s">
        <v>21</v>
      </c>
    </row>
    <row r="3" spans="2:89" x14ac:dyDescent="0.2">
      <c r="B3" t="s">
        <v>22</v>
      </c>
      <c r="C3" t="s">
        <v>23</v>
      </c>
      <c r="D3" s="12">
        <v>488554</v>
      </c>
      <c r="E3">
        <v>1</v>
      </c>
      <c r="F3" s="4">
        <v>802403.49633800006</v>
      </c>
      <c r="G3" s="5">
        <f>(D3/D$27)*G$27</f>
        <v>1686.8636445255188</v>
      </c>
      <c r="H3" s="4">
        <v>945878.41916196817</v>
      </c>
      <c r="I3" s="4">
        <v>802403.49633800006</v>
      </c>
      <c r="J3" s="4">
        <v>1291900.0540759999</v>
      </c>
      <c r="K3" s="5">
        <v>1291900.0540759999</v>
      </c>
      <c r="L3" s="4">
        <v>1994684.9830759999</v>
      </c>
      <c r="M3" s="4">
        <v>802403.49633800006</v>
      </c>
      <c r="N3" s="4">
        <v>802403.49633800006</v>
      </c>
      <c r="O3" s="4">
        <v>578767.946138</v>
      </c>
      <c r="P3" s="4">
        <v>0</v>
      </c>
      <c r="R3" s="1">
        <v>0.5296649064092358</v>
      </c>
      <c r="S3" s="1">
        <v>0.2118659625636943</v>
      </c>
      <c r="T3" s="1">
        <v>0.5296649064092358</v>
      </c>
      <c r="U3" s="1">
        <v>0.5296649064092358</v>
      </c>
      <c r="V3" s="1">
        <v>0.5296649064092358</v>
      </c>
      <c r="W3" s="1">
        <v>0.52966491121256276</v>
      </c>
      <c r="X3" s="1">
        <v>0.60123687199147324</v>
      </c>
      <c r="Y3" s="1">
        <v>0.52966491121256276</v>
      </c>
      <c r="Z3" s="1">
        <v>0.52966491121256276</v>
      </c>
      <c r="AA3" s="1">
        <v>0</v>
      </c>
      <c r="AB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/>
      <c r="AP3" s="1"/>
      <c r="AQ3" s="1">
        <v>3.6574587507156092E-3</v>
      </c>
      <c r="AR3" s="1">
        <v>2.5286094319702649E-3</v>
      </c>
      <c r="AS3" s="1">
        <v>1.881415531242239E-3</v>
      </c>
      <c r="AT3" s="1">
        <v>4.5454803604522932E-3</v>
      </c>
      <c r="AU3" s="1">
        <v>4.5454803604522932E-3</v>
      </c>
      <c r="AV3" s="1">
        <v>5.4335019872508101E-3</v>
      </c>
      <c r="AW3" s="1">
        <v>8.3517966077524593E-3</v>
      </c>
      <c r="AX3" s="1">
        <v>4.4401080486834226E-3</v>
      </c>
      <c r="AY3" s="1">
        <v>7.2095452067241789E-3</v>
      </c>
      <c r="AZ3" s="1">
        <v>4.4401080486834226E-3</v>
      </c>
      <c r="BA3" s="1">
        <v>1.7760432194733691E-3</v>
      </c>
      <c r="BB3" s="1"/>
      <c r="BC3" s="1">
        <v>3</v>
      </c>
      <c r="BD3" s="1">
        <v>9</v>
      </c>
      <c r="BE3" s="1">
        <v>9</v>
      </c>
      <c r="BF3" s="1">
        <v>3</v>
      </c>
      <c r="BG3" s="1">
        <v>3</v>
      </c>
      <c r="BH3" s="1">
        <v>3</v>
      </c>
      <c r="BI3" s="1">
        <v>9</v>
      </c>
      <c r="BJ3" s="1">
        <v>3</v>
      </c>
      <c r="BK3" s="1">
        <v>3</v>
      </c>
      <c r="BL3" s="1">
        <v>6</v>
      </c>
      <c r="BM3" s="1">
        <v>0</v>
      </c>
      <c r="BO3" s="1">
        <v>1</v>
      </c>
      <c r="BP3" s="1">
        <v>1</v>
      </c>
      <c r="BQ3" s="1">
        <v>1</v>
      </c>
      <c r="BR3" s="1">
        <v>-2</v>
      </c>
      <c r="BS3" s="1">
        <v>-4</v>
      </c>
      <c r="BT3" s="1">
        <v>-4</v>
      </c>
      <c r="BU3" s="1">
        <v>-4</v>
      </c>
      <c r="BV3" s="1">
        <v>1</v>
      </c>
      <c r="BW3" s="1">
        <v>-3</v>
      </c>
      <c r="BX3" s="1">
        <v>2</v>
      </c>
      <c r="BY3" s="1">
        <v>0</v>
      </c>
      <c r="CA3" s="1">
        <v>3</v>
      </c>
      <c r="CB3" s="1">
        <v>1</v>
      </c>
      <c r="CC3" s="1">
        <v>4</v>
      </c>
      <c r="CD3" s="1">
        <v>-4</v>
      </c>
      <c r="CE3" s="1">
        <v>-4</v>
      </c>
      <c r="CF3" s="1">
        <v>-4</v>
      </c>
      <c r="CG3" s="1">
        <v>-4</v>
      </c>
      <c r="CH3" s="1">
        <v>1</v>
      </c>
      <c r="CI3" s="1">
        <v>-4</v>
      </c>
      <c r="CJ3" s="1">
        <v>2</v>
      </c>
      <c r="CK3" s="1">
        <v>0</v>
      </c>
    </row>
    <row r="4" spans="2:89" x14ac:dyDescent="0.2">
      <c r="B4" t="s">
        <v>22</v>
      </c>
      <c r="C4" t="s">
        <v>23</v>
      </c>
      <c r="D4" s="12">
        <v>564453</v>
      </c>
      <c r="E4">
        <v>2</v>
      </c>
      <c r="F4" s="4">
        <v>585346.40343599999</v>
      </c>
      <c r="G4" s="5">
        <f t="shared" ref="G4:G24" si="0">(D4/D$27)*G$27</f>
        <v>1948.9252871604015</v>
      </c>
      <c r="H4" s="4">
        <v>702251.94375796814</v>
      </c>
      <c r="I4" s="4">
        <v>585346.40343599999</v>
      </c>
      <c r="J4" s="4">
        <v>953029.72347199998</v>
      </c>
      <c r="K4" s="5">
        <v>953937.32817600004</v>
      </c>
      <c r="L4" s="4">
        <v>1765902.9686759999</v>
      </c>
      <c r="M4" s="4">
        <v>586254.00814000005</v>
      </c>
      <c r="N4" s="4">
        <v>586254.00814000005</v>
      </c>
      <c r="O4" s="4">
        <v>478274.73753599997</v>
      </c>
      <c r="P4" s="4">
        <v>0</v>
      </c>
      <c r="R4" s="1">
        <v>0.79747095561404646</v>
      </c>
      <c r="S4" s="1">
        <v>0.31898838224561848</v>
      </c>
      <c r="T4" s="1">
        <v>0.79747095561404646</v>
      </c>
      <c r="U4" s="1">
        <v>0.79747095561404646</v>
      </c>
      <c r="V4" s="1">
        <v>0.79747095561404646</v>
      </c>
      <c r="W4" s="1">
        <v>0.79747095467098494</v>
      </c>
      <c r="X4" s="1">
        <v>1</v>
      </c>
      <c r="Y4" s="1">
        <v>0.79747095467098494</v>
      </c>
      <c r="Z4" s="1">
        <v>0.79747095467098494</v>
      </c>
      <c r="AA4" s="1">
        <v>0</v>
      </c>
      <c r="AB4" s="1">
        <v>0</v>
      </c>
      <c r="AD4" s="1">
        <v>3.0568155025479612E-3</v>
      </c>
      <c r="AE4" s="1">
        <v>1.929520173397845E-3</v>
      </c>
      <c r="AF4" s="1">
        <v>1.8788255485835269E-3</v>
      </c>
      <c r="AG4" s="1">
        <v>3.645810479530177E-3</v>
      </c>
      <c r="AH4" s="1">
        <v>3.645810479530177E-3</v>
      </c>
      <c r="AI4" s="1">
        <v>4.2348054542905612E-3</v>
      </c>
      <c r="AJ4" s="1">
        <v>6.4789447468043852E-3</v>
      </c>
      <c r="AK4" s="1">
        <v>2.944974884911084E-3</v>
      </c>
      <c r="AL4" s="1">
        <v>5.4127954082549947E-3</v>
      </c>
      <c r="AM4" s="1">
        <v>2.944974884911084E-3</v>
      </c>
      <c r="AN4" s="1">
        <v>1.1779899539644341E-3</v>
      </c>
      <c r="AO4" s="1"/>
      <c r="AP4" s="1"/>
      <c r="AQ4" s="1">
        <v>1.328163650190606E-3</v>
      </c>
      <c r="AR4" s="1">
        <v>8.3836219571654827E-4</v>
      </c>
      <c r="AS4" s="1">
        <v>8.1633575745676317E-4</v>
      </c>
      <c r="AT4" s="1">
        <v>1.5840775965575279E-3</v>
      </c>
      <c r="AU4" s="1">
        <v>1.5840775965575279E-3</v>
      </c>
      <c r="AV4" s="1">
        <v>1.839991541959079E-3</v>
      </c>
      <c r="AW4" s="1">
        <v>2.8150534100361379E-3</v>
      </c>
      <c r="AX4" s="1">
        <v>1.279569731834608E-3</v>
      </c>
      <c r="AY4" s="1">
        <v>2.3518194346929221E-3</v>
      </c>
      <c r="AZ4" s="1">
        <v>1.279569731834608E-3</v>
      </c>
      <c r="BA4" s="1">
        <v>5.1182789273384308E-4</v>
      </c>
      <c r="BB4" s="1"/>
      <c r="BC4" s="1">
        <v>3</v>
      </c>
      <c r="BD4" s="1">
        <v>9</v>
      </c>
      <c r="BE4" s="1">
        <v>9</v>
      </c>
      <c r="BF4" s="1">
        <v>3</v>
      </c>
      <c r="BG4" s="1">
        <v>3</v>
      </c>
      <c r="BH4" s="1">
        <v>3</v>
      </c>
      <c r="BI4" s="1">
        <v>9</v>
      </c>
      <c r="BJ4" s="1">
        <v>3</v>
      </c>
      <c r="BK4" s="1">
        <v>3</v>
      </c>
      <c r="BL4" s="1">
        <v>6</v>
      </c>
      <c r="BM4" s="1">
        <v>0</v>
      </c>
      <c r="BO4" s="1">
        <v>1</v>
      </c>
      <c r="BP4" s="1">
        <v>1</v>
      </c>
      <c r="BQ4" s="1">
        <v>1</v>
      </c>
      <c r="BR4" s="1">
        <v>-2</v>
      </c>
      <c r="BS4" s="1">
        <v>-4</v>
      </c>
      <c r="BT4" s="1">
        <v>-4</v>
      </c>
      <c r="BU4" s="1">
        <v>-4</v>
      </c>
      <c r="BV4" s="1">
        <v>1</v>
      </c>
      <c r="BW4" s="1">
        <v>-3</v>
      </c>
      <c r="BX4" s="1">
        <v>2</v>
      </c>
      <c r="BY4" s="1">
        <v>0</v>
      </c>
      <c r="CA4" s="1">
        <v>3</v>
      </c>
      <c r="CB4" s="1">
        <v>1</v>
      </c>
      <c r="CC4" s="1">
        <v>4</v>
      </c>
      <c r="CD4" s="1">
        <v>-4</v>
      </c>
      <c r="CE4" s="1">
        <v>-4</v>
      </c>
      <c r="CF4" s="1">
        <v>-4</v>
      </c>
      <c r="CG4" s="1">
        <v>-4</v>
      </c>
      <c r="CH4" s="1">
        <v>1</v>
      </c>
      <c r="CI4" s="1">
        <v>-4</v>
      </c>
      <c r="CJ4" s="1">
        <v>2</v>
      </c>
      <c r="CK4" s="1">
        <v>0</v>
      </c>
    </row>
    <row r="5" spans="2:89" x14ac:dyDescent="0.2">
      <c r="B5" t="s">
        <v>22</v>
      </c>
      <c r="C5" t="s">
        <v>23</v>
      </c>
      <c r="D5" s="12">
        <v>804948</v>
      </c>
      <c r="E5">
        <v>3</v>
      </c>
      <c r="F5" s="4">
        <v>543880.33896800003</v>
      </c>
      <c r="G5" s="5">
        <f t="shared" si="0"/>
        <v>2779.2987406377338</v>
      </c>
      <c r="H5" s="4">
        <v>655710.1284219682</v>
      </c>
      <c r="I5" s="4">
        <v>543880.33896800003</v>
      </c>
      <c r="J5" s="4">
        <v>888292.75133600004</v>
      </c>
      <c r="K5" s="5">
        <v>890642.26260000002</v>
      </c>
      <c r="L5" s="4">
        <v>2048559.9606000001</v>
      </c>
      <c r="M5" s="4">
        <v>546229.850232</v>
      </c>
      <c r="N5" s="4">
        <v>546229.850232</v>
      </c>
      <c r="O5" s="4">
        <v>522558.87536800001</v>
      </c>
      <c r="P5" s="4">
        <v>0</v>
      </c>
      <c r="R5" s="1">
        <v>0.49385319236683017</v>
      </c>
      <c r="S5" s="1">
        <v>0.19754127694673199</v>
      </c>
      <c r="T5" s="1">
        <v>0.49385319236683017</v>
      </c>
      <c r="U5" s="1">
        <v>0.49385319236683017</v>
      </c>
      <c r="V5" s="1">
        <v>0.49385319236683017</v>
      </c>
      <c r="W5" s="1">
        <v>0.49412888224104279</v>
      </c>
      <c r="X5" s="1">
        <v>0.58139775990950648</v>
      </c>
      <c r="Y5" s="1">
        <v>0.49412888224104279</v>
      </c>
      <c r="Z5" s="1">
        <v>0.49412888224104279</v>
      </c>
      <c r="AA5" s="1">
        <v>0</v>
      </c>
      <c r="AB5" s="1">
        <v>0</v>
      </c>
      <c r="AD5" s="1">
        <v>7.0244944579416456E-3</v>
      </c>
      <c r="AE5" s="1">
        <v>4.9301797003126384E-3</v>
      </c>
      <c r="AF5" s="1">
        <v>3.4905245960483462E-3</v>
      </c>
      <c r="AG5" s="1">
        <v>8.7914793888882979E-3</v>
      </c>
      <c r="AH5" s="1">
        <v>8.7914793888882979E-3</v>
      </c>
      <c r="AI5" s="1">
        <v>1.0560412879248341E-2</v>
      </c>
      <c r="AJ5" s="1">
        <v>1.6478178839211498E-2</v>
      </c>
      <c r="AK5" s="1">
        <v>8.8349246547332529E-3</v>
      </c>
      <c r="AL5" s="1">
        <v>1.409438274114164E-2</v>
      </c>
      <c r="AM5" s="1">
        <v>8.8349246547332529E-3</v>
      </c>
      <c r="AN5" s="1">
        <v>3.5339698618933012E-3</v>
      </c>
      <c r="AO5" s="1"/>
      <c r="AP5" s="1"/>
      <c r="AQ5" s="1">
        <v>1.579458641780632E-2</v>
      </c>
      <c r="AR5" s="1">
        <v>1.108551651626192E-2</v>
      </c>
      <c r="AS5" s="1">
        <v>7.8484498359073351E-3</v>
      </c>
      <c r="AT5" s="1">
        <v>1.976765470875582E-2</v>
      </c>
      <c r="AU5" s="1">
        <v>1.976765470875582E-2</v>
      </c>
      <c r="AV5" s="1">
        <v>2.3745104338494791E-2</v>
      </c>
      <c r="AW5" s="1">
        <v>3.7051210053948569E-2</v>
      </c>
      <c r="AX5" s="1">
        <v>1.986534145474747E-2</v>
      </c>
      <c r="AY5" s="1">
        <v>3.1691240920393778E-2</v>
      </c>
      <c r="AZ5" s="1">
        <v>1.986534145474747E-2</v>
      </c>
      <c r="BA5" s="1">
        <v>7.9461365818989868E-3</v>
      </c>
      <c r="BB5" s="1"/>
      <c r="BC5" s="1">
        <v>3</v>
      </c>
      <c r="BD5" s="1">
        <v>9</v>
      </c>
      <c r="BE5" s="1">
        <v>9</v>
      </c>
      <c r="BF5" s="1">
        <v>3</v>
      </c>
      <c r="BG5" s="1">
        <v>3</v>
      </c>
      <c r="BH5" s="1">
        <v>3</v>
      </c>
      <c r="BI5" s="1">
        <v>9</v>
      </c>
      <c r="BJ5" s="1">
        <v>3</v>
      </c>
      <c r="BK5" s="1">
        <v>3</v>
      </c>
      <c r="BL5" s="1">
        <v>6</v>
      </c>
      <c r="BM5" s="1">
        <v>0</v>
      </c>
      <c r="BO5" s="1">
        <v>1</v>
      </c>
      <c r="BP5" s="1">
        <v>1</v>
      </c>
      <c r="BQ5" s="1">
        <v>1</v>
      </c>
      <c r="BR5" s="1">
        <v>-2</v>
      </c>
      <c r="BS5" s="1">
        <v>-4</v>
      </c>
      <c r="BT5" s="1">
        <v>-4</v>
      </c>
      <c r="BU5" s="1">
        <v>-4</v>
      </c>
      <c r="BV5" s="1">
        <v>1</v>
      </c>
      <c r="BW5" s="1">
        <v>-3</v>
      </c>
      <c r="BX5" s="1">
        <v>2</v>
      </c>
      <c r="BY5" s="1">
        <v>0</v>
      </c>
      <c r="CA5" s="1">
        <v>3</v>
      </c>
      <c r="CB5" s="1">
        <v>1</v>
      </c>
      <c r="CC5" s="1">
        <v>4</v>
      </c>
      <c r="CD5" s="1">
        <v>-4</v>
      </c>
      <c r="CE5" s="1">
        <v>-4</v>
      </c>
      <c r="CF5" s="1">
        <v>-4</v>
      </c>
      <c r="CG5" s="1">
        <v>-4</v>
      </c>
      <c r="CH5" s="1">
        <v>1</v>
      </c>
      <c r="CI5" s="1">
        <v>-4</v>
      </c>
      <c r="CJ5" s="1">
        <v>2</v>
      </c>
      <c r="CK5" s="1">
        <v>0</v>
      </c>
    </row>
    <row r="6" spans="2:89" x14ac:dyDescent="0.2">
      <c r="B6" t="s">
        <v>22</v>
      </c>
      <c r="C6" t="s">
        <v>23</v>
      </c>
      <c r="D6" s="12">
        <v>704315</v>
      </c>
      <c r="E6">
        <v>4</v>
      </c>
      <c r="F6" s="4">
        <v>460198.98224799999</v>
      </c>
      <c r="G6" s="5">
        <f t="shared" si="0"/>
        <v>2431.8363329212143</v>
      </c>
      <c r="H6" s="4">
        <v>561785.55898196821</v>
      </c>
      <c r="I6" s="4">
        <v>460198.98224799999</v>
      </c>
      <c r="J6" s="4">
        <v>757649.10989600001</v>
      </c>
      <c r="K6" s="5">
        <v>759681.45033600007</v>
      </c>
      <c r="L6" s="4">
        <v>1772838.5778359999</v>
      </c>
      <c r="M6" s="4">
        <v>462231.32268799999</v>
      </c>
      <c r="N6" s="4">
        <v>462231.32268799999</v>
      </c>
      <c r="O6" s="4">
        <v>447328.78094800003</v>
      </c>
      <c r="P6" s="4">
        <v>0</v>
      </c>
      <c r="R6" s="1">
        <v>0.33064545309026089</v>
      </c>
      <c r="S6" s="1">
        <v>0.13225818123610431</v>
      </c>
      <c r="T6" s="1">
        <v>0.33064545309026089</v>
      </c>
      <c r="U6" s="1">
        <v>0.33064545309026089</v>
      </c>
      <c r="V6" s="1">
        <v>0.33064545309026089</v>
      </c>
      <c r="W6" s="1">
        <v>0.33064543719760758</v>
      </c>
      <c r="X6" s="1">
        <v>0.40876936705325839</v>
      </c>
      <c r="Y6" s="1">
        <v>0.33064543719760758</v>
      </c>
      <c r="Z6" s="1">
        <v>0.33064543719760758</v>
      </c>
      <c r="AA6" s="1">
        <v>0</v>
      </c>
      <c r="AB6" s="1">
        <v>0</v>
      </c>
      <c r="AD6" s="1">
        <v>5.2186239949150006E-3</v>
      </c>
      <c r="AE6" s="1">
        <v>3.9722335243090939E-3</v>
      </c>
      <c r="AF6" s="1">
        <v>2.077317451009844E-3</v>
      </c>
      <c r="AG6" s="1">
        <v>6.7892772668675791E-3</v>
      </c>
      <c r="AH6" s="1">
        <v>6.7892772668675791E-3</v>
      </c>
      <c r="AI6" s="1">
        <v>8.3599304389727642E-3</v>
      </c>
      <c r="AJ6" s="1">
        <v>1.356271267901279E-2</v>
      </c>
      <c r="AK6" s="1">
        <v>7.8532663597628907E-3</v>
      </c>
      <c r="AL6" s="1">
        <v>1.1501236982877919E-2</v>
      </c>
      <c r="AM6" s="1">
        <v>7.8532663597628907E-3</v>
      </c>
      <c r="AN6" s="1">
        <v>3.141306543905157E-3</v>
      </c>
      <c r="AO6" s="1"/>
      <c r="AP6" s="1"/>
      <c r="AQ6" s="1">
        <v>6.7555995110419442E-3</v>
      </c>
      <c r="AR6" s="1">
        <v>5.1421253726489273E-3</v>
      </c>
      <c r="AS6" s="1">
        <v>2.6891235639883602E-3</v>
      </c>
      <c r="AT6" s="1">
        <v>8.7888374845687348E-3</v>
      </c>
      <c r="AU6" s="1">
        <v>8.7888374845687348E-3</v>
      </c>
      <c r="AV6" s="1">
        <v>1.082207532884134E-2</v>
      </c>
      <c r="AW6" s="1">
        <v>1.7557167412716328E-2</v>
      </c>
      <c r="AX6" s="1">
        <v>1.016618986763396E-2</v>
      </c>
      <c r="AY6" s="1">
        <v>1.488855127589492E-2</v>
      </c>
      <c r="AZ6" s="1">
        <v>1.016618986763396E-2</v>
      </c>
      <c r="BA6" s="1">
        <v>4.0664759470535831E-3</v>
      </c>
      <c r="BB6" s="1"/>
      <c r="BC6" s="1">
        <v>3</v>
      </c>
      <c r="BD6" s="1">
        <v>9</v>
      </c>
      <c r="BE6" s="1">
        <v>9</v>
      </c>
      <c r="BF6" s="1">
        <v>3</v>
      </c>
      <c r="BG6" s="1">
        <v>3</v>
      </c>
      <c r="BH6" s="1">
        <v>3</v>
      </c>
      <c r="BI6" s="1">
        <v>9</v>
      </c>
      <c r="BJ6" s="1">
        <v>3</v>
      </c>
      <c r="BK6" s="1">
        <v>3</v>
      </c>
      <c r="BL6" s="1">
        <v>6</v>
      </c>
      <c r="BM6" s="1">
        <v>0</v>
      </c>
      <c r="BO6" s="1">
        <v>1</v>
      </c>
      <c r="BP6" s="1">
        <v>1</v>
      </c>
      <c r="BQ6" s="1">
        <v>1</v>
      </c>
      <c r="BR6" s="1">
        <v>-2</v>
      </c>
      <c r="BS6" s="1">
        <v>-4</v>
      </c>
      <c r="BT6" s="1">
        <v>-4</v>
      </c>
      <c r="BU6" s="1">
        <v>-4</v>
      </c>
      <c r="BV6" s="1">
        <v>1</v>
      </c>
      <c r="BW6" s="1">
        <v>-3</v>
      </c>
      <c r="BX6" s="1">
        <v>2</v>
      </c>
      <c r="BY6" s="1">
        <v>0</v>
      </c>
      <c r="CA6" s="1">
        <v>3</v>
      </c>
      <c r="CB6" s="1">
        <v>1</v>
      </c>
      <c r="CC6" s="1">
        <v>4</v>
      </c>
      <c r="CD6" s="1">
        <v>-4</v>
      </c>
      <c r="CE6" s="1">
        <v>-4</v>
      </c>
      <c r="CF6" s="1">
        <v>-4</v>
      </c>
      <c r="CG6" s="1">
        <v>-4</v>
      </c>
      <c r="CH6" s="1">
        <v>1</v>
      </c>
      <c r="CI6" s="1">
        <v>-4</v>
      </c>
      <c r="CJ6" s="1">
        <v>2</v>
      </c>
      <c r="CK6" s="1">
        <v>0</v>
      </c>
    </row>
    <row r="7" spans="2:89" x14ac:dyDescent="0.2">
      <c r="B7" t="s">
        <v>22</v>
      </c>
      <c r="C7" t="s">
        <v>23</v>
      </c>
      <c r="D7" s="12">
        <v>2172640</v>
      </c>
      <c r="E7">
        <v>5</v>
      </c>
      <c r="F7" s="4">
        <v>906962.9822219999</v>
      </c>
      <c r="G7" s="5">
        <f t="shared" si="0"/>
        <v>7501.6219878292331</v>
      </c>
      <c r="H7" s="4">
        <v>1063236.7541299679</v>
      </c>
      <c r="I7" s="4">
        <v>906962.9822219999</v>
      </c>
      <c r="J7" s="4">
        <v>1455138.7074440001</v>
      </c>
      <c r="K7" s="5">
        <v>1467222.1992840001</v>
      </c>
      <c r="L7" s="4">
        <v>4592564.839284</v>
      </c>
      <c r="M7" s="4">
        <v>919046.47406199994</v>
      </c>
      <c r="N7" s="4">
        <v>919046.47406199994</v>
      </c>
      <c r="O7" s="4">
        <v>1110506.871022</v>
      </c>
      <c r="P7" s="4">
        <v>0</v>
      </c>
      <c r="R7" s="1">
        <v>0.40267765212501189</v>
      </c>
      <c r="S7" s="1">
        <v>0.16107106085000469</v>
      </c>
      <c r="T7" s="1">
        <v>0.40267765212501189</v>
      </c>
      <c r="U7" s="1">
        <v>0.40267765212501189</v>
      </c>
      <c r="V7" s="1">
        <v>0.40267765212501189</v>
      </c>
      <c r="W7" s="1">
        <v>0.40383330692192232</v>
      </c>
      <c r="X7" s="1">
        <v>0.56260033082823524</v>
      </c>
      <c r="Y7" s="1">
        <v>0.40383330692192232</v>
      </c>
      <c r="Z7" s="1">
        <v>0.40383330692192232</v>
      </c>
      <c r="AA7" s="1">
        <v>0</v>
      </c>
      <c r="AB7" s="1">
        <v>0</v>
      </c>
      <c r="AD7" s="1">
        <v>4.1116014627030018E-2</v>
      </c>
      <c r="AE7" s="1">
        <v>3.0111089316799431E-2</v>
      </c>
      <c r="AF7" s="1">
        <v>1.834154218371763E-2</v>
      </c>
      <c r="AG7" s="1">
        <v>5.2503250848686213E-2</v>
      </c>
      <c r="AH7" s="1">
        <v>5.2503250848686213E-2</v>
      </c>
      <c r="AI7" s="1">
        <v>6.3943125926994832E-2</v>
      </c>
      <c r="AJ7" s="1">
        <v>0.10533650501368549</v>
      </c>
      <c r="AK7" s="1">
        <v>5.6936181108280963E-2</v>
      </c>
      <c r="AL7" s="1">
        <v>8.6717598370307222E-2</v>
      </c>
      <c r="AM7" s="1">
        <v>5.6936181108280963E-2</v>
      </c>
      <c r="AN7" s="1">
        <v>2.277447244331238E-2</v>
      </c>
      <c r="AO7" s="1"/>
      <c r="AP7" s="1"/>
      <c r="AQ7" s="1">
        <v>4.1341202506598979E-2</v>
      </c>
      <c r="AR7" s="1">
        <v>3.0276004433604169E-2</v>
      </c>
      <c r="AS7" s="1">
        <v>1.8441996788324689E-2</v>
      </c>
      <c r="AT7" s="1">
        <v>5.2790805365736132E-2</v>
      </c>
      <c r="AU7" s="1">
        <v>5.2790805365736132E-2</v>
      </c>
      <c r="AV7" s="1">
        <v>6.4293335378740796E-2</v>
      </c>
      <c r="AW7" s="1">
        <v>0.1059134214395699</v>
      </c>
      <c r="AX7" s="1">
        <v>5.7248014295685747E-2</v>
      </c>
      <c r="AY7" s="1">
        <v>8.7192541097015103E-2</v>
      </c>
      <c r="AZ7" s="1">
        <v>5.7248014295685747E-2</v>
      </c>
      <c r="BA7" s="1">
        <v>2.28992057182743E-2</v>
      </c>
      <c r="BB7" s="1"/>
      <c r="BC7" s="1">
        <v>3</v>
      </c>
      <c r="BD7" s="1">
        <v>9</v>
      </c>
      <c r="BE7" s="1">
        <v>9</v>
      </c>
      <c r="BF7" s="1">
        <v>3</v>
      </c>
      <c r="BG7" s="1">
        <v>3</v>
      </c>
      <c r="BH7" s="1">
        <v>3</v>
      </c>
      <c r="BI7" s="1">
        <v>9</v>
      </c>
      <c r="BJ7" s="1">
        <v>3</v>
      </c>
      <c r="BK7" s="1">
        <v>3</v>
      </c>
      <c r="BL7" s="1">
        <v>6</v>
      </c>
      <c r="BM7" s="1">
        <v>0</v>
      </c>
      <c r="BO7" s="1">
        <v>1</v>
      </c>
      <c r="BP7" s="1">
        <v>1</v>
      </c>
      <c r="BQ7" s="1">
        <v>1</v>
      </c>
      <c r="BR7" s="1">
        <v>-2</v>
      </c>
      <c r="BS7" s="1">
        <v>-4</v>
      </c>
      <c r="BT7" s="1">
        <v>-4</v>
      </c>
      <c r="BU7" s="1">
        <v>-4</v>
      </c>
      <c r="BV7" s="1">
        <v>1</v>
      </c>
      <c r="BW7" s="1">
        <v>-3</v>
      </c>
      <c r="BX7" s="1">
        <v>2</v>
      </c>
      <c r="BY7" s="1">
        <v>0</v>
      </c>
      <c r="CA7" s="1">
        <v>3</v>
      </c>
      <c r="CB7" s="1">
        <v>1</v>
      </c>
      <c r="CC7" s="1">
        <v>4</v>
      </c>
      <c r="CD7" s="1">
        <v>-4</v>
      </c>
      <c r="CE7" s="1">
        <v>-4</v>
      </c>
      <c r="CF7" s="1">
        <v>-4</v>
      </c>
      <c r="CG7" s="1">
        <v>-4</v>
      </c>
      <c r="CH7" s="1">
        <v>1</v>
      </c>
      <c r="CI7" s="1">
        <v>-4</v>
      </c>
      <c r="CJ7" s="1">
        <v>2</v>
      </c>
      <c r="CK7" s="1">
        <v>0</v>
      </c>
    </row>
    <row r="8" spans="2:89" x14ac:dyDescent="0.2">
      <c r="B8" t="s">
        <v>22</v>
      </c>
      <c r="C8" t="s">
        <v>23</v>
      </c>
      <c r="D8" s="12">
        <v>3072920</v>
      </c>
      <c r="E8">
        <v>6</v>
      </c>
      <c r="F8" s="4">
        <v>958827.22031899996</v>
      </c>
      <c r="G8" s="5">
        <f t="shared" si="0"/>
        <v>10610.080012721946</v>
      </c>
      <c r="H8" s="4">
        <v>1121449.5559239681</v>
      </c>
      <c r="I8" s="4">
        <v>958827.22031899996</v>
      </c>
      <c r="J8" s="4">
        <v>1536109.346438</v>
      </c>
      <c r="K8" s="5">
        <v>1537234.3090635999</v>
      </c>
      <c r="L8" s="4">
        <v>5957629.7290636003</v>
      </c>
      <c r="M8" s="4">
        <v>959952.1829446</v>
      </c>
      <c r="N8" s="4">
        <v>959952.1829446</v>
      </c>
      <c r="O8" s="4">
        <v>1392501.923919</v>
      </c>
      <c r="P8" s="4">
        <v>0</v>
      </c>
      <c r="R8" s="1">
        <v>0.6216903970171952</v>
      </c>
      <c r="S8" s="1">
        <v>0.2486761588068781</v>
      </c>
      <c r="T8" s="1">
        <v>0.6216903970171952</v>
      </c>
      <c r="U8" s="1">
        <v>0.6216903970171952</v>
      </c>
      <c r="V8" s="1">
        <v>0.6216903970171952</v>
      </c>
      <c r="W8" s="1">
        <v>0.6217441347384387</v>
      </c>
      <c r="X8" s="1">
        <v>0.85390777875192969</v>
      </c>
      <c r="Y8" s="1">
        <v>0.6217441347384387</v>
      </c>
      <c r="Z8" s="1">
        <v>0.6217441347384387</v>
      </c>
      <c r="AA8" s="1">
        <v>0</v>
      </c>
      <c r="AB8" s="1">
        <v>0</v>
      </c>
      <c r="AD8" s="1">
        <v>5.2853600765785319E-3</v>
      </c>
      <c r="AE8" s="1">
        <v>3.527731975388733E-3</v>
      </c>
      <c r="AF8" s="1">
        <v>2.9293801686496651E-3</v>
      </c>
      <c r="AG8" s="1">
        <v>6.4633500305429662E-3</v>
      </c>
      <c r="AH8" s="1">
        <v>6.4633500305429662E-3</v>
      </c>
      <c r="AI8" s="1">
        <v>7.6415931944904944E-3</v>
      </c>
      <c r="AJ8" s="1">
        <v>1.226950881767846E-2</v>
      </c>
      <c r="AK8" s="1">
        <v>5.889949769822168E-3</v>
      </c>
      <c r="AL8" s="1">
        <v>9.9975731024193621E-3</v>
      </c>
      <c r="AM8" s="1">
        <v>5.889949769822168E-3</v>
      </c>
      <c r="AN8" s="1">
        <v>2.3559799079288669E-3</v>
      </c>
      <c r="AO8" s="1"/>
      <c r="AP8" s="1"/>
      <c r="AQ8" s="1">
        <v>1.752193444322233E-2</v>
      </c>
      <c r="AR8" s="1">
        <v>1.169507611788579E-2</v>
      </c>
      <c r="AS8" s="1">
        <v>9.7114305422275702E-3</v>
      </c>
      <c r="AT8" s="1">
        <v>2.142718639371971E-2</v>
      </c>
      <c r="AU8" s="1">
        <v>2.142718639371971E-2</v>
      </c>
      <c r="AV8" s="1">
        <v>2.5333277781579899E-2</v>
      </c>
      <c r="AW8" s="1">
        <v>4.0675663727545101E-2</v>
      </c>
      <c r="AX8" s="1">
        <v>1.95262597524869E-2</v>
      </c>
      <c r="AY8" s="1">
        <v>3.3143781682574647E-2</v>
      </c>
      <c r="AZ8" s="1">
        <v>1.95262597524869E-2</v>
      </c>
      <c r="BA8" s="1">
        <v>7.8105039009947613E-3</v>
      </c>
      <c r="BB8" s="1"/>
      <c r="BC8" s="1">
        <v>3</v>
      </c>
      <c r="BD8" s="1">
        <v>9</v>
      </c>
      <c r="BE8" s="1">
        <v>9</v>
      </c>
      <c r="BF8" s="1">
        <v>3</v>
      </c>
      <c r="BG8" s="1">
        <v>3</v>
      </c>
      <c r="BH8" s="1">
        <v>3</v>
      </c>
      <c r="BI8" s="1">
        <v>9</v>
      </c>
      <c r="BJ8" s="1">
        <v>3</v>
      </c>
      <c r="BK8" s="1">
        <v>3</v>
      </c>
      <c r="BL8" s="1">
        <v>6</v>
      </c>
      <c r="BM8" s="1">
        <v>0</v>
      </c>
      <c r="BO8" s="1">
        <v>1</v>
      </c>
      <c r="BP8" s="1">
        <v>1</v>
      </c>
      <c r="BQ8" s="1">
        <v>1</v>
      </c>
      <c r="BR8" s="1">
        <v>-2</v>
      </c>
      <c r="BS8" s="1">
        <v>-4</v>
      </c>
      <c r="BT8" s="1">
        <v>-4</v>
      </c>
      <c r="BU8" s="1">
        <v>-4</v>
      </c>
      <c r="BV8" s="1">
        <v>1</v>
      </c>
      <c r="BW8" s="1">
        <v>-3</v>
      </c>
      <c r="BX8" s="1">
        <v>2</v>
      </c>
      <c r="BY8" s="1">
        <v>0</v>
      </c>
      <c r="CA8" s="1">
        <v>3</v>
      </c>
      <c r="CB8" s="1">
        <v>1</v>
      </c>
      <c r="CC8" s="1">
        <v>4</v>
      </c>
      <c r="CD8" s="1">
        <v>-4</v>
      </c>
      <c r="CE8" s="1">
        <v>-4</v>
      </c>
      <c r="CF8" s="1">
        <v>-4</v>
      </c>
      <c r="CG8" s="1">
        <v>-4</v>
      </c>
      <c r="CH8" s="1">
        <v>1</v>
      </c>
      <c r="CI8" s="1">
        <v>-4</v>
      </c>
      <c r="CJ8" s="1">
        <v>2</v>
      </c>
      <c r="CK8" s="1">
        <v>0</v>
      </c>
    </row>
    <row r="9" spans="2:89" x14ac:dyDescent="0.2">
      <c r="B9" t="s">
        <v>22</v>
      </c>
      <c r="C9" t="s">
        <v>23</v>
      </c>
      <c r="D9" s="12">
        <v>2220560</v>
      </c>
      <c r="E9">
        <v>7</v>
      </c>
      <c r="F9" s="4">
        <v>915650.33113999991</v>
      </c>
      <c r="G9" s="5">
        <f t="shared" si="0"/>
        <v>7667.0786330427882</v>
      </c>
      <c r="H9" s="4">
        <v>1072987.498365968</v>
      </c>
      <c r="I9" s="4">
        <v>915650.33113999991</v>
      </c>
      <c r="J9" s="4">
        <v>1468701.42848</v>
      </c>
      <c r="K9" s="5">
        <v>1475524.09136</v>
      </c>
      <c r="L9" s="4">
        <v>4669799.6513599996</v>
      </c>
      <c r="M9" s="4">
        <v>922472.99401999987</v>
      </c>
      <c r="N9" s="4">
        <v>922472.99401999987</v>
      </c>
      <c r="O9" s="4">
        <v>1128842.97114</v>
      </c>
      <c r="P9" s="4">
        <v>0</v>
      </c>
      <c r="R9" s="1">
        <v>0.66739252717525432</v>
      </c>
      <c r="S9" s="1">
        <v>0.26695701087010171</v>
      </c>
      <c r="T9" s="1">
        <v>0.66739252717525432</v>
      </c>
      <c r="U9" s="1">
        <v>0.66739252717525432</v>
      </c>
      <c r="V9" s="1">
        <v>0.66739252717525432</v>
      </c>
      <c r="W9" s="1">
        <v>0.66739249554227487</v>
      </c>
      <c r="X9" s="1">
        <v>0.9240034218979255</v>
      </c>
      <c r="Y9" s="1">
        <v>0.66739249554227487</v>
      </c>
      <c r="Z9" s="1">
        <v>0.66739249554227487</v>
      </c>
      <c r="AA9" s="1">
        <v>0</v>
      </c>
      <c r="AB9" s="1">
        <v>0</v>
      </c>
      <c r="AD9" s="1">
        <v>2.566996449445123E-2</v>
      </c>
      <c r="AE9" s="1">
        <v>1.6864729539981319E-2</v>
      </c>
      <c r="AF9" s="1">
        <v>1.4675391590783189E-2</v>
      </c>
      <c r="AG9" s="1">
        <v>3.1167250946285259E-2</v>
      </c>
      <c r="AH9" s="1">
        <v>3.1167250946285259E-2</v>
      </c>
      <c r="AI9" s="1">
        <v>3.6664536702537082E-2</v>
      </c>
      <c r="AJ9" s="1">
        <v>5.8799051133429127E-2</v>
      </c>
      <c r="AK9" s="1">
        <v>2.7486432259170121E-2</v>
      </c>
      <c r="AL9" s="1">
        <v>4.7659109606205133E-2</v>
      </c>
      <c r="AM9" s="1">
        <v>2.7486432259170121E-2</v>
      </c>
      <c r="AN9" s="1">
        <v>1.0994572903668049E-2</v>
      </c>
      <c r="AO9" s="1"/>
      <c r="AP9" s="1"/>
      <c r="AQ9" s="1">
        <v>1.2499800855255171E-2</v>
      </c>
      <c r="AR9" s="1">
        <v>8.2121563032575631E-3</v>
      </c>
      <c r="AS9" s="1">
        <v>7.1460742533293346E-3</v>
      </c>
      <c r="AT9" s="1">
        <v>1.517666415621808E-2</v>
      </c>
      <c r="AU9" s="1">
        <v>1.517666415621808E-2</v>
      </c>
      <c r="AV9" s="1">
        <v>1.7853527118472351E-2</v>
      </c>
      <c r="AW9" s="1">
        <v>2.8631766506911249E-2</v>
      </c>
      <c r="AX9" s="1">
        <v>1.3384316504814579E-2</v>
      </c>
      <c r="AY9" s="1">
        <v>2.3207253720398179E-2</v>
      </c>
      <c r="AZ9" s="1">
        <v>1.3384316504814579E-2</v>
      </c>
      <c r="BA9" s="1">
        <v>5.3537266019258309E-3</v>
      </c>
      <c r="BB9" s="1"/>
      <c r="BC9" s="1">
        <v>3</v>
      </c>
      <c r="BD9" s="1">
        <v>9</v>
      </c>
      <c r="BE9" s="1">
        <v>9</v>
      </c>
      <c r="BF9" s="1">
        <v>3</v>
      </c>
      <c r="BG9" s="1">
        <v>3</v>
      </c>
      <c r="BH9" s="1">
        <v>3</v>
      </c>
      <c r="BI9" s="1">
        <v>9</v>
      </c>
      <c r="BJ9" s="1">
        <v>3</v>
      </c>
      <c r="BK9" s="1">
        <v>3</v>
      </c>
      <c r="BL9" s="1">
        <v>6</v>
      </c>
      <c r="BM9" s="1">
        <v>0</v>
      </c>
      <c r="BO9" s="1">
        <v>1</v>
      </c>
      <c r="BP9" s="1">
        <v>1</v>
      </c>
      <c r="BQ9" s="1">
        <v>1</v>
      </c>
      <c r="BR9" s="1">
        <v>-2</v>
      </c>
      <c r="BS9" s="1">
        <v>-4</v>
      </c>
      <c r="BT9" s="1">
        <v>-4</v>
      </c>
      <c r="BU9" s="1">
        <v>-4</v>
      </c>
      <c r="BV9" s="1">
        <v>1</v>
      </c>
      <c r="BW9" s="1">
        <v>-3</v>
      </c>
      <c r="BX9" s="1">
        <v>2</v>
      </c>
      <c r="BY9" s="1">
        <v>0</v>
      </c>
      <c r="CA9" s="1">
        <v>3</v>
      </c>
      <c r="CB9" s="1">
        <v>1</v>
      </c>
      <c r="CC9" s="1">
        <v>4</v>
      </c>
      <c r="CD9" s="1">
        <v>-4</v>
      </c>
      <c r="CE9" s="1">
        <v>-4</v>
      </c>
      <c r="CF9" s="1">
        <v>-4</v>
      </c>
      <c r="CG9" s="1">
        <v>-4</v>
      </c>
      <c r="CH9" s="1">
        <v>1</v>
      </c>
      <c r="CI9" s="1">
        <v>-4</v>
      </c>
      <c r="CJ9" s="1">
        <v>2</v>
      </c>
      <c r="CK9" s="1">
        <v>0</v>
      </c>
    </row>
    <row r="10" spans="2:89" x14ac:dyDescent="0.2">
      <c r="B10" t="s">
        <v>22</v>
      </c>
      <c r="C10" t="s">
        <v>23</v>
      </c>
      <c r="D10" s="12">
        <v>1492830</v>
      </c>
      <c r="E10">
        <v>8</v>
      </c>
      <c r="F10" s="4">
        <v>703316.80284100003</v>
      </c>
      <c r="G10" s="5">
        <f t="shared" si="0"/>
        <v>5154.3957361049761</v>
      </c>
      <c r="H10" s="4">
        <v>834662.7865679682</v>
      </c>
      <c r="I10" s="4">
        <v>703316.80284100003</v>
      </c>
      <c r="J10" s="4">
        <v>1137205.544282</v>
      </c>
      <c r="K10" s="5">
        <v>1177552.766202</v>
      </c>
      <c r="L10" s="4">
        <v>3324988.721202</v>
      </c>
      <c r="M10" s="4">
        <v>743664.02476100007</v>
      </c>
      <c r="N10" s="4">
        <v>743664.02476100007</v>
      </c>
      <c r="O10" s="4">
        <v>805261.258241</v>
      </c>
      <c r="P10" s="4">
        <v>0</v>
      </c>
      <c r="R10" s="1">
        <v>0.5236991159862403</v>
      </c>
      <c r="S10" s="1">
        <v>0.20947964639449601</v>
      </c>
      <c r="T10" s="1">
        <v>0.5236991159862403</v>
      </c>
      <c r="U10" s="1">
        <v>0.5236991159862403</v>
      </c>
      <c r="V10" s="1">
        <v>0.5236991159862403</v>
      </c>
      <c r="W10" s="1">
        <v>0.52537476045100939</v>
      </c>
      <c r="X10" s="1">
        <v>0.73784155649246397</v>
      </c>
      <c r="Y10" s="1">
        <v>0.52537476045100939</v>
      </c>
      <c r="Z10" s="1">
        <v>0.52537476045100939</v>
      </c>
      <c r="AA10" s="1">
        <v>0</v>
      </c>
      <c r="AB10" s="1">
        <v>0</v>
      </c>
      <c r="AD10" s="1">
        <v>0.17365064753002499</v>
      </c>
      <c r="AE10" s="1">
        <v>0.1203494250232735</v>
      </c>
      <c r="AF10" s="1">
        <v>8.8835370844585787E-2</v>
      </c>
      <c r="AG10" s="1">
        <v>0.21605828587274459</v>
      </c>
      <c r="AH10" s="1">
        <v>0.21605828587274459</v>
      </c>
      <c r="AI10" s="1">
        <v>0.25875016471327589</v>
      </c>
      <c r="AJ10" s="1">
        <v>0.42201393992688419</v>
      </c>
      <c r="AK10" s="1">
        <v>0.21203819171359811</v>
      </c>
      <c r="AL10" s="1">
        <v>0.34356544139871509</v>
      </c>
      <c r="AM10" s="1">
        <v>0.21203819171359811</v>
      </c>
      <c r="AN10" s="1">
        <v>8.4815276685439228E-2</v>
      </c>
      <c r="AO10" s="1"/>
      <c r="AP10" s="1"/>
      <c r="AQ10" s="1">
        <v>2.965598677374648E-3</v>
      </c>
      <c r="AR10" s="1">
        <v>2.0553225729268202E-3</v>
      </c>
      <c r="AS10" s="1">
        <v>1.51712684074638E-3</v>
      </c>
      <c r="AT10" s="1">
        <v>3.6898345956887821E-3</v>
      </c>
      <c r="AU10" s="1">
        <v>3.6898345956887821E-3</v>
      </c>
      <c r="AV10" s="1">
        <v>4.4189247616337564E-3</v>
      </c>
      <c r="AW10" s="1">
        <v>7.207136857145538E-3</v>
      </c>
      <c r="AX10" s="1">
        <v>3.62117959157067E-3</v>
      </c>
      <c r="AY10" s="1">
        <v>5.8673965982620254E-3</v>
      </c>
      <c r="AZ10" s="1">
        <v>3.62117959157067E-3</v>
      </c>
      <c r="BA10" s="1">
        <v>1.448471836628268E-3</v>
      </c>
      <c r="BC10" s="1">
        <v>3</v>
      </c>
      <c r="BD10" s="1">
        <v>9</v>
      </c>
      <c r="BE10" s="1">
        <v>9</v>
      </c>
      <c r="BF10" s="1">
        <v>3</v>
      </c>
      <c r="BG10" s="1">
        <v>3</v>
      </c>
      <c r="BH10" s="1">
        <v>3</v>
      </c>
      <c r="BI10" s="1">
        <v>9</v>
      </c>
      <c r="BJ10" s="1">
        <v>3</v>
      </c>
      <c r="BK10" s="1">
        <v>3</v>
      </c>
      <c r="BL10" s="1">
        <v>6</v>
      </c>
      <c r="BM10" s="1">
        <v>0</v>
      </c>
      <c r="BO10" s="1">
        <v>1</v>
      </c>
      <c r="BP10" s="1">
        <v>1</v>
      </c>
      <c r="BQ10" s="1">
        <v>1</v>
      </c>
      <c r="BR10" s="1">
        <v>-2</v>
      </c>
      <c r="BS10" s="1">
        <v>-4</v>
      </c>
      <c r="BT10" s="1">
        <v>-4</v>
      </c>
      <c r="BU10" s="1">
        <v>-4</v>
      </c>
      <c r="BV10" s="1">
        <v>1</v>
      </c>
      <c r="BW10" s="1">
        <v>-3</v>
      </c>
      <c r="BX10" s="1">
        <v>2</v>
      </c>
      <c r="BY10" s="1">
        <v>0</v>
      </c>
      <c r="CA10" s="1">
        <v>3</v>
      </c>
      <c r="CB10" s="1">
        <v>1</v>
      </c>
      <c r="CC10" s="1">
        <v>4</v>
      </c>
      <c r="CD10" s="1">
        <v>-4</v>
      </c>
      <c r="CE10" s="1">
        <v>-4</v>
      </c>
      <c r="CF10" s="1">
        <v>-4</v>
      </c>
      <c r="CG10" s="1">
        <v>-4</v>
      </c>
      <c r="CH10" s="1">
        <v>1</v>
      </c>
      <c r="CI10" s="1">
        <v>-4</v>
      </c>
      <c r="CJ10" s="1">
        <v>2</v>
      </c>
      <c r="CK10" s="1">
        <v>0</v>
      </c>
    </row>
    <row r="11" spans="2:89" x14ac:dyDescent="0.2">
      <c r="B11" t="s">
        <v>22</v>
      </c>
      <c r="C11" t="s">
        <v>23</v>
      </c>
      <c r="D11" s="12">
        <v>1715970</v>
      </c>
      <c r="E11">
        <v>9</v>
      </c>
      <c r="F11" s="4">
        <v>827824.478474</v>
      </c>
      <c r="G11" s="5">
        <f t="shared" si="0"/>
        <v>5924.8463999812802</v>
      </c>
      <c r="H11" s="4">
        <v>974411.11623396806</v>
      </c>
      <c r="I11" s="4">
        <v>827824.478474</v>
      </c>
      <c r="J11" s="4">
        <v>1331587.384748</v>
      </c>
      <c r="K11" s="5">
        <v>1427781.398028</v>
      </c>
      <c r="L11" s="4">
        <v>3896204.243028</v>
      </c>
      <c r="M11" s="4">
        <v>924018.49175400008</v>
      </c>
      <c r="N11" s="4">
        <v>924018.49175400008</v>
      </c>
      <c r="O11" s="4">
        <v>937815.44907399989</v>
      </c>
      <c r="P11" s="4">
        <v>0</v>
      </c>
      <c r="R11" s="1">
        <v>0.33127441275605152</v>
      </c>
      <c r="S11" s="1">
        <v>0.1325097651024206</v>
      </c>
      <c r="T11" s="1">
        <v>0.33127441275605152</v>
      </c>
      <c r="U11" s="1">
        <v>0.33127441275605152</v>
      </c>
      <c r="V11" s="1">
        <v>0.33127441275605152</v>
      </c>
      <c r="W11" s="1">
        <v>0.33501021050603552</v>
      </c>
      <c r="X11" s="1">
        <v>0.44544053652414078</v>
      </c>
      <c r="Y11" s="1">
        <v>0.33501021050603552</v>
      </c>
      <c r="Z11" s="1">
        <v>0.33501021050603552</v>
      </c>
      <c r="AA11" s="1">
        <v>0</v>
      </c>
      <c r="AB11" s="1">
        <v>0</v>
      </c>
      <c r="AD11" s="1">
        <v>0.37863672412286759</v>
      </c>
      <c r="AE11" s="1">
        <v>0.28810152430902131</v>
      </c>
      <c r="AF11" s="1">
        <v>0.15089199968974379</v>
      </c>
      <c r="AG11" s="1">
        <v>0.49250908633942958</v>
      </c>
      <c r="AH11" s="1">
        <v>0.49250908633942958</v>
      </c>
      <c r="AI11" s="1">
        <v>0.60808306501420739</v>
      </c>
      <c r="AJ11" s="1">
        <v>1</v>
      </c>
      <c r="AK11" s="1">
        <v>0.56936181108280959</v>
      </c>
      <c r="AL11" s="1">
        <v>0.83582778944733127</v>
      </c>
      <c r="AM11" s="1">
        <v>0.56936181108280959</v>
      </c>
      <c r="AN11" s="1">
        <v>0.22774472443312391</v>
      </c>
      <c r="AO11" s="1"/>
      <c r="AP11" s="1"/>
      <c r="AQ11" s="1">
        <v>3.376103726819378E-2</v>
      </c>
      <c r="AR11" s="1">
        <v>2.568849157923736E-2</v>
      </c>
      <c r="AS11" s="1">
        <v>1.3454242814927349E-2</v>
      </c>
      <c r="AT11" s="1">
        <v>4.3914434494826987E-2</v>
      </c>
      <c r="AU11" s="1">
        <v>4.3914434494826987E-2</v>
      </c>
      <c r="AV11" s="1">
        <v>5.4219555875516003E-2</v>
      </c>
      <c r="AW11" s="1">
        <v>8.9164719419129346E-2</v>
      </c>
      <c r="AX11" s="1">
        <v>5.0766986133166048E-2</v>
      </c>
      <c r="AY11" s="1">
        <v>7.4526350328782423E-2</v>
      </c>
      <c r="AZ11" s="1">
        <v>5.0766986133166048E-2</v>
      </c>
      <c r="BA11" s="1">
        <v>2.030679445326642E-2</v>
      </c>
      <c r="BC11" s="1">
        <v>3</v>
      </c>
      <c r="BD11" s="1">
        <v>9</v>
      </c>
      <c r="BE11" s="1">
        <v>9</v>
      </c>
      <c r="BF11" s="1">
        <v>3</v>
      </c>
      <c r="BG11" s="1">
        <v>3</v>
      </c>
      <c r="BH11" s="1">
        <v>3</v>
      </c>
      <c r="BI11" s="1">
        <v>9</v>
      </c>
      <c r="BJ11" s="1">
        <v>3</v>
      </c>
      <c r="BK11" s="1">
        <v>3</v>
      </c>
      <c r="BL11" s="1">
        <v>6</v>
      </c>
      <c r="BM11" s="1">
        <v>0</v>
      </c>
      <c r="BO11" s="1">
        <v>1</v>
      </c>
      <c r="BP11" s="1">
        <v>1</v>
      </c>
      <c r="BQ11" s="1">
        <v>1</v>
      </c>
      <c r="BR11" s="1">
        <v>-2</v>
      </c>
      <c r="BS11" s="1">
        <v>-4</v>
      </c>
      <c r="BT11" s="1">
        <v>-4</v>
      </c>
      <c r="BU11" s="1">
        <v>-4</v>
      </c>
      <c r="BV11" s="1">
        <v>1</v>
      </c>
      <c r="BW11" s="1">
        <v>-3</v>
      </c>
      <c r="BX11" s="1">
        <v>2</v>
      </c>
      <c r="BY11" s="1">
        <v>0</v>
      </c>
      <c r="CA11" s="1">
        <v>3</v>
      </c>
      <c r="CB11" s="1">
        <v>1</v>
      </c>
      <c r="CC11" s="1">
        <v>4</v>
      </c>
      <c r="CD11" s="1">
        <v>-4</v>
      </c>
      <c r="CE11" s="1">
        <v>-4</v>
      </c>
      <c r="CF11" s="1">
        <v>-4</v>
      </c>
      <c r="CG11" s="1">
        <v>-4</v>
      </c>
      <c r="CH11" s="1">
        <v>1</v>
      </c>
      <c r="CI11" s="1">
        <v>-4</v>
      </c>
      <c r="CJ11" s="1">
        <v>2</v>
      </c>
      <c r="CK11" s="1">
        <v>0</v>
      </c>
    </row>
    <row r="12" spans="2:89" x14ac:dyDescent="0.2">
      <c r="B12" t="s">
        <v>22</v>
      </c>
      <c r="C12" t="s">
        <v>23</v>
      </c>
      <c r="D12" s="12">
        <v>1513710</v>
      </c>
      <c r="E12">
        <v>10</v>
      </c>
      <c r="F12" s="4">
        <v>847549.74657600001</v>
      </c>
      <c r="G12" s="5">
        <f t="shared" si="0"/>
        <v>5226.4895331011994</v>
      </c>
      <c r="H12" s="4">
        <v>996550.90203796828</v>
      </c>
      <c r="I12" s="4">
        <v>847549.74657600001</v>
      </c>
      <c r="J12" s="4">
        <v>1362382.5457520001</v>
      </c>
      <c r="K12" s="5">
        <v>1362987.6151688001</v>
      </c>
      <c r="L12" s="4">
        <v>3540459.4501688001</v>
      </c>
      <c r="M12" s="4">
        <v>848154.81599280005</v>
      </c>
      <c r="N12" s="4">
        <v>848154.81599280005</v>
      </c>
      <c r="O12" s="4">
        <v>892070.50797600008</v>
      </c>
      <c r="P12" s="4">
        <v>0</v>
      </c>
      <c r="R12" s="1">
        <v>0.26381935452677352</v>
      </c>
      <c r="S12" s="1">
        <v>0.1055277418107094</v>
      </c>
      <c r="T12" s="1">
        <v>0.26381935452677352</v>
      </c>
      <c r="U12" s="1">
        <v>0.26381935452677352</v>
      </c>
      <c r="V12" s="1">
        <v>0.26381935452677352</v>
      </c>
      <c r="W12" s="1">
        <v>0.26605521191754838</v>
      </c>
      <c r="X12" s="1">
        <v>0.34394246718902882</v>
      </c>
      <c r="Y12" s="1">
        <v>0.26605521191754838</v>
      </c>
      <c r="Z12" s="1">
        <v>0.26605521191754838</v>
      </c>
      <c r="AA12" s="1">
        <v>0</v>
      </c>
      <c r="AB12" s="1">
        <v>0</v>
      </c>
      <c r="AD12" s="1">
        <v>1.1996953683681829E-3</v>
      </c>
      <c r="AE12" s="1">
        <v>9.5107412893304663E-4</v>
      </c>
      <c r="AF12" s="1">
        <v>4.1436873239189412E-4</v>
      </c>
      <c r="AG12" s="1">
        <v>1.592358686356328E-3</v>
      </c>
      <c r="AH12" s="1">
        <v>1.592358686356328E-3</v>
      </c>
      <c r="AI12" s="1">
        <v>1.9885337610709118E-3</v>
      </c>
      <c r="AJ12" s="1">
        <v>3.288857587370902E-3</v>
      </c>
      <c r="AK12" s="1">
        <v>1.9633165899407231E-3</v>
      </c>
      <c r="AL12" s="1">
        <v>2.7738603970472011E-3</v>
      </c>
      <c r="AM12" s="1">
        <v>1.9633165899407231E-3</v>
      </c>
      <c r="AN12" s="1">
        <v>7.8532663597628914E-4</v>
      </c>
      <c r="AO12" s="1"/>
      <c r="AP12" s="1"/>
      <c r="AQ12" s="1">
        <v>5.3168454039354369E-3</v>
      </c>
      <c r="AR12" s="1">
        <v>4.2149984442281154E-3</v>
      </c>
      <c r="AS12" s="1">
        <v>1.836411599512201E-3</v>
      </c>
      <c r="AT12" s="1">
        <v>7.0570623061470541E-3</v>
      </c>
      <c r="AU12" s="1">
        <v>7.0570623061470541E-3</v>
      </c>
      <c r="AV12" s="1">
        <v>8.8128427156481167E-3</v>
      </c>
      <c r="AW12" s="1">
        <v>1.457565629464417E-2</v>
      </c>
      <c r="AX12" s="1">
        <v>8.7010845110580878E-3</v>
      </c>
      <c r="AY12" s="1">
        <v>1.2293276520071349E-2</v>
      </c>
      <c r="AZ12" s="1">
        <v>8.7010845110580878E-3</v>
      </c>
      <c r="BA12" s="1">
        <v>3.4804338044232348E-3</v>
      </c>
      <c r="BC12" s="1">
        <v>3</v>
      </c>
      <c r="BD12" s="1">
        <v>9</v>
      </c>
      <c r="BE12" s="1">
        <v>9</v>
      </c>
      <c r="BF12" s="1">
        <v>3</v>
      </c>
      <c r="BG12" s="1">
        <v>3</v>
      </c>
      <c r="BH12" s="1">
        <v>3</v>
      </c>
      <c r="BI12" s="1">
        <v>9</v>
      </c>
      <c r="BJ12" s="1">
        <v>3</v>
      </c>
      <c r="BK12" s="1">
        <v>3</v>
      </c>
      <c r="BL12" s="1">
        <v>6</v>
      </c>
      <c r="BM12" s="1">
        <v>0</v>
      </c>
      <c r="BO12" s="1">
        <v>1</v>
      </c>
      <c r="BP12" s="1">
        <v>1</v>
      </c>
      <c r="BQ12" s="1">
        <v>1</v>
      </c>
      <c r="BR12" s="1">
        <v>-2</v>
      </c>
      <c r="BS12" s="1">
        <v>-4</v>
      </c>
      <c r="BT12" s="1">
        <v>-4</v>
      </c>
      <c r="BU12" s="1">
        <v>-4</v>
      </c>
      <c r="BV12" s="1">
        <v>1</v>
      </c>
      <c r="BW12" s="1">
        <v>-3</v>
      </c>
      <c r="BX12" s="1">
        <v>2</v>
      </c>
      <c r="BY12" s="1">
        <v>0</v>
      </c>
      <c r="CA12" s="1">
        <v>3</v>
      </c>
      <c r="CB12" s="1">
        <v>1</v>
      </c>
      <c r="CC12" s="1">
        <v>4</v>
      </c>
      <c r="CD12" s="1">
        <v>-4</v>
      </c>
      <c r="CE12" s="1">
        <v>-4</v>
      </c>
      <c r="CF12" s="1">
        <v>-4</v>
      </c>
      <c r="CG12" s="1">
        <v>-4</v>
      </c>
      <c r="CH12" s="1">
        <v>1</v>
      </c>
      <c r="CI12" s="1">
        <v>-4</v>
      </c>
      <c r="CJ12" s="1">
        <v>2</v>
      </c>
      <c r="CK12" s="1">
        <v>0</v>
      </c>
    </row>
    <row r="13" spans="2:89" x14ac:dyDescent="0.2">
      <c r="B13" t="s">
        <v>22</v>
      </c>
      <c r="C13" t="s">
        <v>24</v>
      </c>
      <c r="D13" s="12">
        <v>1680430</v>
      </c>
      <c r="E13">
        <v>11</v>
      </c>
      <c r="F13" s="4">
        <v>729595.175927</v>
      </c>
      <c r="G13" s="5">
        <f t="shared" si="0"/>
        <v>5802.1350232932646</v>
      </c>
      <c r="H13" s="4">
        <v>864157.82553996821</v>
      </c>
      <c r="I13" s="4">
        <v>729595.175927</v>
      </c>
      <c r="J13" s="4">
        <v>1178231.436854</v>
      </c>
      <c r="K13" s="5">
        <v>1179441.5803179999</v>
      </c>
      <c r="L13" s="4">
        <v>3596740.1353179989</v>
      </c>
      <c r="M13" s="4">
        <v>730805.31939099997</v>
      </c>
      <c r="N13" s="4">
        <v>730805.31939099997</v>
      </c>
      <c r="O13" s="4">
        <v>872705.61772700003</v>
      </c>
      <c r="P13" s="4">
        <v>0</v>
      </c>
      <c r="R13" s="1">
        <v>0.1519863742329976</v>
      </c>
      <c r="S13" s="1">
        <v>6.0794549693199022E-2</v>
      </c>
      <c r="T13" s="1">
        <v>0.1519863742329976</v>
      </c>
      <c r="U13" s="1">
        <v>0.1519863742329976</v>
      </c>
      <c r="V13" s="1">
        <v>0.1519863742329976</v>
      </c>
      <c r="W13" s="1">
        <v>0.15208305202457839</v>
      </c>
      <c r="X13" s="1">
        <v>0.155347091358707</v>
      </c>
      <c r="Y13" s="1">
        <v>0.15208305202457839</v>
      </c>
      <c r="Z13" s="1">
        <v>0.15208305202457839</v>
      </c>
      <c r="AA13" s="1">
        <v>0</v>
      </c>
      <c r="AB13" s="1">
        <v>0</v>
      </c>
      <c r="AD13" s="1">
        <v>2.0480890639151118E-3</v>
      </c>
      <c r="AE13" s="1">
        <v>1.761627588737591E-3</v>
      </c>
      <c r="AF13" s="1">
        <v>4.7743579196253338E-4</v>
      </c>
      <c r="AG13" s="1">
        <v>2.8334156998914011E-3</v>
      </c>
      <c r="AH13" s="1">
        <v>2.8334156998914011E-3</v>
      </c>
      <c r="AI13" s="1">
        <v>3.6190460304470328E-3</v>
      </c>
      <c r="AJ13" s="1">
        <v>5.9852792864957616E-3</v>
      </c>
      <c r="AK13" s="1">
        <v>3.9266331798814454E-3</v>
      </c>
      <c r="AL13" s="1">
        <v>5.1896993023996113E-3</v>
      </c>
      <c r="AM13" s="1">
        <v>3.9266331798814454E-3</v>
      </c>
      <c r="AN13" s="1">
        <v>1.5706532719525781E-3</v>
      </c>
      <c r="AO13" s="1"/>
      <c r="AP13" s="1"/>
      <c r="AQ13" s="1">
        <v>3.2702594380704428E-4</v>
      </c>
      <c r="AR13" s="1">
        <v>2.8128558225010689E-4</v>
      </c>
      <c r="AS13" s="1">
        <v>7.6233935928229002E-5</v>
      </c>
      <c r="AT13" s="1">
        <v>4.5242194774645201E-4</v>
      </c>
      <c r="AU13" s="1">
        <v>4.5242194774645201E-4</v>
      </c>
      <c r="AV13" s="1">
        <v>5.7786644372079525E-4</v>
      </c>
      <c r="AW13" s="1">
        <v>9.5569164549582134E-4</v>
      </c>
      <c r="AX13" s="1">
        <v>6.2698001969703813E-4</v>
      </c>
      <c r="AY13" s="1">
        <v>8.2865845159961048E-4</v>
      </c>
      <c r="AZ13" s="1">
        <v>6.2698001969703813E-4</v>
      </c>
      <c r="BA13" s="1">
        <v>2.5079200787881528E-4</v>
      </c>
      <c r="BC13" s="1">
        <v>1</v>
      </c>
      <c r="BD13" s="1">
        <v>3</v>
      </c>
      <c r="BE13" s="1">
        <v>3</v>
      </c>
      <c r="BF13" s="1">
        <v>1</v>
      </c>
      <c r="BG13" s="1">
        <v>1</v>
      </c>
      <c r="BH13" s="1">
        <v>1</v>
      </c>
      <c r="BI13" s="1">
        <v>3</v>
      </c>
      <c r="BJ13" s="1">
        <v>1</v>
      </c>
      <c r="BK13" s="1">
        <v>1</v>
      </c>
      <c r="BL13" s="1">
        <v>2</v>
      </c>
      <c r="BM13" s="1">
        <v>0</v>
      </c>
      <c r="BO13" s="1">
        <v>2</v>
      </c>
      <c r="BP13" s="1">
        <v>2</v>
      </c>
      <c r="BQ13" s="1">
        <v>2</v>
      </c>
      <c r="BR13" s="1">
        <v>-4</v>
      </c>
      <c r="BS13" s="1">
        <v>-8</v>
      </c>
      <c r="BT13" s="1">
        <v>-8</v>
      </c>
      <c r="BU13" s="1">
        <v>-8</v>
      </c>
      <c r="BV13" s="1">
        <v>2</v>
      </c>
      <c r="BW13" s="1">
        <v>-6</v>
      </c>
      <c r="BX13" s="1">
        <v>4</v>
      </c>
      <c r="BY13" s="1">
        <v>0</v>
      </c>
      <c r="CA13" s="1">
        <v>6</v>
      </c>
      <c r="CB13" s="1">
        <v>2</v>
      </c>
      <c r="CC13" s="1">
        <v>8</v>
      </c>
      <c r="CD13" s="1">
        <v>-8</v>
      </c>
      <c r="CE13" s="1">
        <v>-8</v>
      </c>
      <c r="CF13" s="1">
        <v>-8</v>
      </c>
      <c r="CG13" s="1">
        <v>-8</v>
      </c>
      <c r="CH13" s="1">
        <v>2</v>
      </c>
      <c r="CI13" s="1">
        <v>-8</v>
      </c>
      <c r="CJ13" s="1">
        <v>4</v>
      </c>
      <c r="CK13" s="1">
        <v>0</v>
      </c>
    </row>
    <row r="14" spans="2:89" x14ac:dyDescent="0.2">
      <c r="B14" t="s">
        <v>22</v>
      </c>
      <c r="C14" t="s">
        <v>24</v>
      </c>
      <c r="D14" s="12">
        <v>2169210</v>
      </c>
      <c r="E14">
        <v>12</v>
      </c>
      <c r="F14" s="4">
        <v>823798.69819799997</v>
      </c>
      <c r="G14" s="5">
        <f t="shared" si="0"/>
        <v>7489.7789933992981</v>
      </c>
      <c r="H14" s="4">
        <v>969892.55088196823</v>
      </c>
      <c r="I14" s="4">
        <v>823798.69819799997</v>
      </c>
      <c r="J14" s="4">
        <v>1325302.321796</v>
      </c>
      <c r="K14" s="5">
        <v>1326785.89038</v>
      </c>
      <c r="L14" s="4">
        <v>4447194.4753799997</v>
      </c>
      <c r="M14" s="4">
        <v>825282.26678199996</v>
      </c>
      <c r="N14" s="4">
        <v>825282.26678199996</v>
      </c>
      <c r="O14" s="4">
        <v>1062871.2823979999</v>
      </c>
      <c r="P14" s="4">
        <v>0</v>
      </c>
      <c r="R14" s="1">
        <v>0.27049804947012529</v>
      </c>
      <c r="S14" s="1">
        <v>0.1081992197880501</v>
      </c>
      <c r="T14" s="1">
        <v>0.27049804947012529</v>
      </c>
      <c r="U14" s="1">
        <v>0.27049804947012529</v>
      </c>
      <c r="V14" s="1">
        <v>0.27049804947012529</v>
      </c>
      <c r="W14" s="1">
        <v>0.27052037993369932</v>
      </c>
      <c r="X14" s="1">
        <v>0.31488215293812022</v>
      </c>
      <c r="Y14" s="1">
        <v>0.27052037993369932</v>
      </c>
      <c r="Z14" s="1">
        <v>0.27052037993369932</v>
      </c>
      <c r="AA14" s="1">
        <v>0</v>
      </c>
      <c r="AB14" s="1">
        <v>0</v>
      </c>
      <c r="AD14" s="1">
        <v>3.02546320608333E-3</v>
      </c>
      <c r="AE14" s="1">
        <v>2.3881752363977648E-3</v>
      </c>
      <c r="AF14" s="1">
        <v>1.0621466161426069E-3</v>
      </c>
      <c r="AG14" s="1">
        <v>4.0071215010536896E-3</v>
      </c>
      <c r="AH14" s="1">
        <v>4.0071215010536896E-3</v>
      </c>
      <c r="AI14" s="1">
        <v>4.9888674795632434E-3</v>
      </c>
      <c r="AJ14" s="1">
        <v>8.1080347742718568E-3</v>
      </c>
      <c r="AK14" s="1">
        <v>4.9082914748518067E-3</v>
      </c>
      <c r="AL14" s="1">
        <v>6.9521840695039661E-3</v>
      </c>
      <c r="AM14" s="1">
        <v>4.9082914748518067E-3</v>
      </c>
      <c r="AN14" s="1">
        <v>1.9633165899407231E-3</v>
      </c>
      <c r="AO14" s="1"/>
      <c r="AP14" s="1"/>
      <c r="AQ14" s="1">
        <v>2.9447072248924792E-2</v>
      </c>
      <c r="AR14" s="1">
        <v>2.3244298125290469E-2</v>
      </c>
      <c r="AS14" s="1">
        <v>1.0337956872723861E-2</v>
      </c>
      <c r="AT14" s="1">
        <v>3.9001629937025252E-2</v>
      </c>
      <c r="AU14" s="1">
        <v>3.9001629937025252E-2</v>
      </c>
      <c r="AV14" s="1">
        <v>4.855704105593539E-2</v>
      </c>
      <c r="AW14" s="1">
        <v>7.8916142597505415E-2</v>
      </c>
      <c r="AX14" s="1">
        <v>4.7772788440502312E-2</v>
      </c>
      <c r="AY14" s="1">
        <v>6.7666156432136318E-2</v>
      </c>
      <c r="AZ14" s="1">
        <v>4.7772788440502312E-2</v>
      </c>
      <c r="BA14" s="1">
        <v>1.9109115376200931E-2</v>
      </c>
      <c r="BC14" s="1">
        <v>1</v>
      </c>
      <c r="BD14" s="1">
        <v>3</v>
      </c>
      <c r="BE14" s="1">
        <v>3</v>
      </c>
      <c r="BF14" s="1">
        <v>1</v>
      </c>
      <c r="BG14" s="1">
        <v>1</v>
      </c>
      <c r="BH14" s="1">
        <v>1</v>
      </c>
      <c r="BI14" s="1">
        <v>3</v>
      </c>
      <c r="BJ14" s="1">
        <v>1</v>
      </c>
      <c r="BK14" s="1">
        <v>1</v>
      </c>
      <c r="BL14" s="1">
        <v>2</v>
      </c>
      <c r="BM14" s="1">
        <v>0</v>
      </c>
      <c r="BO14" s="1">
        <v>2</v>
      </c>
      <c r="BP14" s="1">
        <v>2</v>
      </c>
      <c r="BQ14" s="1">
        <v>2</v>
      </c>
      <c r="BR14" s="1">
        <v>-4</v>
      </c>
      <c r="BS14" s="1">
        <v>-8</v>
      </c>
      <c r="BT14" s="1">
        <v>-8</v>
      </c>
      <c r="BU14" s="1">
        <v>-8</v>
      </c>
      <c r="BV14" s="1">
        <v>2</v>
      </c>
      <c r="BW14" s="1">
        <v>-6</v>
      </c>
      <c r="BX14" s="1">
        <v>4</v>
      </c>
      <c r="BY14" s="1">
        <v>0</v>
      </c>
      <c r="CA14" s="1">
        <v>6</v>
      </c>
      <c r="CB14" s="1">
        <v>2</v>
      </c>
      <c r="CC14" s="1">
        <v>8</v>
      </c>
      <c r="CD14" s="1">
        <v>-8</v>
      </c>
      <c r="CE14" s="1">
        <v>-8</v>
      </c>
      <c r="CF14" s="1">
        <v>-8</v>
      </c>
      <c r="CG14" s="1">
        <v>-8</v>
      </c>
      <c r="CH14" s="1">
        <v>2</v>
      </c>
      <c r="CI14" s="1">
        <v>-8</v>
      </c>
      <c r="CJ14" s="1">
        <v>4</v>
      </c>
      <c r="CK14" s="1">
        <v>0</v>
      </c>
    </row>
    <row r="15" spans="2:89" x14ac:dyDescent="0.2">
      <c r="B15" t="s">
        <v>22</v>
      </c>
      <c r="C15" t="s">
        <v>24</v>
      </c>
      <c r="D15" s="12">
        <v>1834730</v>
      </c>
      <c r="E15">
        <v>13</v>
      </c>
      <c r="F15" s="5">
        <v>754935.69521999988</v>
      </c>
      <c r="G15" s="5">
        <f t="shared" si="0"/>
        <v>6334.897134237578</v>
      </c>
      <c r="H15" s="5">
        <v>892600.21052596811</v>
      </c>
      <c r="I15" s="5">
        <v>754935.69521999988</v>
      </c>
      <c r="J15" s="5">
        <v>1217793.14864</v>
      </c>
      <c r="K15" s="5">
        <v>1218095.6839272</v>
      </c>
      <c r="L15" s="5">
        <v>3857354.7889271998</v>
      </c>
      <c r="M15" s="5">
        <v>755238.23050719989</v>
      </c>
      <c r="N15" s="5">
        <v>755238.23050719989</v>
      </c>
      <c r="O15" s="5">
        <v>930269.68021999998</v>
      </c>
      <c r="P15" s="4">
        <v>0</v>
      </c>
      <c r="R15">
        <v>0.38239177925525297</v>
      </c>
      <c r="S15">
        <v>0.15295671170210121</v>
      </c>
      <c r="T15">
        <v>0.38239177925525297</v>
      </c>
      <c r="U15">
        <v>0.38239177925525297</v>
      </c>
      <c r="V15">
        <v>0.38239177925525297</v>
      </c>
      <c r="W15">
        <v>0.3823917863542613</v>
      </c>
      <c r="X15">
        <v>0.45822641124434821</v>
      </c>
      <c r="Y15">
        <v>0.3823917863542613</v>
      </c>
      <c r="Z15">
        <v>0.3823917863542613</v>
      </c>
      <c r="AA15">
        <v>0</v>
      </c>
      <c r="AB15">
        <v>0</v>
      </c>
      <c r="AD15">
        <v>6.9296576761566019E-4</v>
      </c>
      <c r="AE15">
        <v>5.1278429783915076E-4</v>
      </c>
      <c r="AF15">
        <v>3.0030244962751562E-4</v>
      </c>
      <c r="AG15">
        <v>8.8929742660973196E-4</v>
      </c>
      <c r="AH15">
        <v>8.8929742660973229E-4</v>
      </c>
      <c r="AI15">
        <v>1.0856290911788449E-3</v>
      </c>
      <c r="AJ15">
        <v>1.7341790190165171E-3</v>
      </c>
      <c r="AK15">
        <v>9.8165829497036134E-4</v>
      </c>
      <c r="AL15">
        <v>1.47829240916699E-3</v>
      </c>
      <c r="AM15">
        <v>9.8165829497036134E-4</v>
      </c>
      <c r="AN15">
        <v>3.9266331798814462E-4</v>
      </c>
      <c r="AQ15">
        <v>1.106504259997601E-3</v>
      </c>
      <c r="AR15">
        <v>8.1879659361989597E-4</v>
      </c>
      <c r="AS15">
        <v>4.7951277729617488E-4</v>
      </c>
      <c r="AT15">
        <v>1.4200000013483141E-3</v>
      </c>
      <c r="AU15">
        <v>1.4200000013483141E-3</v>
      </c>
      <c r="AV15">
        <v>1.733495751601062E-3</v>
      </c>
      <c r="AW15">
        <v>2.769078303453085E-3</v>
      </c>
      <c r="AX15">
        <v>1.5674787067535649E-3</v>
      </c>
      <c r="AY15">
        <v>2.3604872343024881E-3</v>
      </c>
      <c r="AZ15">
        <v>1.5674787067535649E-3</v>
      </c>
      <c r="BA15">
        <v>6.2699148270142595E-4</v>
      </c>
      <c r="BC15" s="1">
        <v>1</v>
      </c>
      <c r="BD15" s="1">
        <v>3</v>
      </c>
      <c r="BE15" s="1">
        <v>3</v>
      </c>
      <c r="BF15" s="1">
        <v>1</v>
      </c>
      <c r="BG15" s="1">
        <v>1</v>
      </c>
      <c r="BH15" s="1">
        <v>1</v>
      </c>
      <c r="BI15" s="1">
        <v>3</v>
      </c>
      <c r="BJ15" s="1">
        <v>1</v>
      </c>
      <c r="BK15" s="1">
        <v>1</v>
      </c>
      <c r="BL15" s="1">
        <v>2</v>
      </c>
      <c r="BM15" s="1">
        <v>0</v>
      </c>
      <c r="BO15" s="1">
        <v>2</v>
      </c>
      <c r="BP15" s="1">
        <v>2</v>
      </c>
      <c r="BQ15" s="1">
        <v>2</v>
      </c>
      <c r="BR15" s="1">
        <v>-4</v>
      </c>
      <c r="BS15" s="1">
        <v>-8</v>
      </c>
      <c r="BT15" s="1">
        <v>-8</v>
      </c>
      <c r="BU15" s="1">
        <v>-8</v>
      </c>
      <c r="BV15" s="1">
        <v>2</v>
      </c>
      <c r="BW15" s="1">
        <v>-6</v>
      </c>
      <c r="BX15" s="1">
        <v>4</v>
      </c>
      <c r="BY15" s="1">
        <v>0</v>
      </c>
      <c r="CA15" s="1">
        <v>6</v>
      </c>
      <c r="CB15" s="1">
        <v>2</v>
      </c>
      <c r="CC15" s="1">
        <v>8</v>
      </c>
      <c r="CD15" s="1">
        <v>-8</v>
      </c>
      <c r="CE15" s="1">
        <v>-8</v>
      </c>
      <c r="CF15" s="1">
        <v>-8</v>
      </c>
      <c r="CG15" s="1">
        <v>-8</v>
      </c>
      <c r="CH15" s="1">
        <v>2</v>
      </c>
      <c r="CI15" s="1">
        <v>-8</v>
      </c>
      <c r="CJ15" s="1">
        <v>4</v>
      </c>
      <c r="CK15" s="1">
        <v>0</v>
      </c>
    </row>
    <row r="16" spans="2:89" x14ac:dyDescent="0.2">
      <c r="B16" t="s">
        <v>22</v>
      </c>
      <c r="C16" t="s">
        <v>24</v>
      </c>
      <c r="D16" s="12">
        <v>1416020</v>
      </c>
      <c r="E16">
        <v>14</v>
      </c>
      <c r="F16" s="5">
        <v>675791.91521999985</v>
      </c>
      <c r="G16" s="5">
        <f t="shared" si="0"/>
        <v>4889.1886217716474</v>
      </c>
      <c r="H16" s="5">
        <v>803768.65052596806</v>
      </c>
      <c r="I16" s="5">
        <v>675791.91521999985</v>
      </c>
      <c r="J16" s="5">
        <v>1094233.58864</v>
      </c>
      <c r="K16" s="5">
        <v>1094838.6580568</v>
      </c>
      <c r="L16" s="5">
        <v>3131783.4280567998</v>
      </c>
      <c r="M16" s="5">
        <v>676396.9846367999</v>
      </c>
      <c r="N16" s="5">
        <v>676396.9846367999</v>
      </c>
      <c r="O16" s="5">
        <v>768238.26121999999</v>
      </c>
      <c r="P16" s="4">
        <v>0</v>
      </c>
      <c r="R16">
        <v>0.32459972225690842</v>
      </c>
      <c r="S16">
        <v>0.12983988890276341</v>
      </c>
      <c r="T16">
        <v>0.32459972225690842</v>
      </c>
      <c r="U16">
        <v>0.32459972225690842</v>
      </c>
      <c r="V16">
        <v>0.32459972225690842</v>
      </c>
      <c r="W16">
        <v>0.32459972011139843</v>
      </c>
      <c r="X16">
        <v>0.34859518982171978</v>
      </c>
      <c r="Y16">
        <v>0.32459972011139843</v>
      </c>
      <c r="Z16">
        <v>0.32459972011139843</v>
      </c>
      <c r="AA16">
        <v>0</v>
      </c>
      <c r="AB16">
        <v>0</v>
      </c>
      <c r="AD16">
        <v>1.2951602518140001E-3</v>
      </c>
      <c r="AE16">
        <v>9.8926008231137348E-4</v>
      </c>
      <c r="AF16">
        <v>5.0983361583771124E-4</v>
      </c>
      <c r="AG16">
        <v>1.6878235698021451E-3</v>
      </c>
      <c r="AH16">
        <v>1.6878235698021451E-3</v>
      </c>
      <c r="AI16">
        <v>2.0804868844204369E-3</v>
      </c>
      <c r="AJ16">
        <v>3.2961654013974259E-3</v>
      </c>
      <c r="AK16">
        <v>1.9633165899407231E-3</v>
      </c>
      <c r="AL16">
        <v>2.8658135203967262E-3</v>
      </c>
      <c r="AM16">
        <v>1.9633165899407231E-3</v>
      </c>
      <c r="AN16">
        <v>7.8532663597628914E-4</v>
      </c>
      <c r="AQ16">
        <v>2.9577511300578129E-2</v>
      </c>
      <c r="AR16">
        <v>2.2591684096847611E-2</v>
      </c>
      <c r="AS16">
        <v>1.1643045339550861E-2</v>
      </c>
      <c r="AT16">
        <v>3.8544744281091767E-2</v>
      </c>
      <c r="AU16">
        <v>3.8544744281091767E-2</v>
      </c>
      <c r="AV16">
        <v>4.7511977184648252E-2</v>
      </c>
      <c r="AW16">
        <v>7.5274367995666405E-2</v>
      </c>
      <c r="AX16">
        <v>4.4836164902568178E-2</v>
      </c>
      <c r="AY16">
        <v>6.544644314567552E-2</v>
      </c>
      <c r="AZ16">
        <v>4.4836164902568178E-2</v>
      </c>
      <c r="BA16">
        <v>1.7934465961027268E-2</v>
      </c>
      <c r="BC16" s="1">
        <v>1</v>
      </c>
      <c r="BD16" s="1">
        <v>3</v>
      </c>
      <c r="BE16" s="1">
        <v>3</v>
      </c>
      <c r="BF16" s="1">
        <v>1</v>
      </c>
      <c r="BG16" s="1">
        <v>1</v>
      </c>
      <c r="BH16" s="1">
        <v>1</v>
      </c>
      <c r="BI16" s="1">
        <v>3</v>
      </c>
      <c r="BJ16" s="1">
        <v>1</v>
      </c>
      <c r="BK16" s="1">
        <v>1</v>
      </c>
      <c r="BL16" s="1">
        <v>2</v>
      </c>
      <c r="BM16" s="1">
        <v>0</v>
      </c>
      <c r="BO16" s="1">
        <v>2</v>
      </c>
      <c r="BP16" s="1">
        <v>2</v>
      </c>
      <c r="BQ16" s="1">
        <v>2</v>
      </c>
      <c r="BR16" s="1">
        <v>-4</v>
      </c>
      <c r="BS16" s="1">
        <v>-8</v>
      </c>
      <c r="BT16" s="1">
        <v>-8</v>
      </c>
      <c r="BU16" s="1">
        <v>-8</v>
      </c>
      <c r="BV16" s="1">
        <v>2</v>
      </c>
      <c r="BW16" s="1">
        <v>-6</v>
      </c>
      <c r="BX16" s="1">
        <v>4</v>
      </c>
      <c r="BY16" s="1">
        <v>0</v>
      </c>
      <c r="CA16" s="1">
        <v>6</v>
      </c>
      <c r="CB16" s="1">
        <v>2</v>
      </c>
      <c r="CC16" s="1">
        <v>8</v>
      </c>
      <c r="CD16" s="1">
        <v>-8</v>
      </c>
      <c r="CE16" s="1">
        <v>-8</v>
      </c>
      <c r="CF16" s="1">
        <v>-8</v>
      </c>
      <c r="CG16" s="1">
        <v>-8</v>
      </c>
      <c r="CH16" s="1">
        <v>2</v>
      </c>
      <c r="CI16" s="1">
        <v>-8</v>
      </c>
      <c r="CJ16" s="1">
        <v>4</v>
      </c>
      <c r="CK16" s="1">
        <v>0</v>
      </c>
    </row>
    <row r="17" spans="2:90" x14ac:dyDescent="0.2">
      <c r="B17" t="s">
        <v>22</v>
      </c>
      <c r="C17" t="s">
        <v>24</v>
      </c>
      <c r="D17" s="12">
        <v>550609</v>
      </c>
      <c r="E17">
        <v>15</v>
      </c>
      <c r="F17" s="5">
        <v>543938.37774000003</v>
      </c>
      <c r="G17" s="5">
        <f t="shared" si="0"/>
        <v>1901.1251662017942</v>
      </c>
      <c r="H17" s="5">
        <v>655775.27156596829</v>
      </c>
      <c r="I17" s="5">
        <v>543938.37774000003</v>
      </c>
      <c r="J17" s="5">
        <v>888383.36168000009</v>
      </c>
      <c r="K17" s="5">
        <v>888383.36168000009</v>
      </c>
      <c r="L17" s="5">
        <v>1680434.40818</v>
      </c>
      <c r="M17" s="5">
        <v>543938.37774000003</v>
      </c>
      <c r="N17" s="5">
        <v>543938.37774000003</v>
      </c>
      <c r="O17" s="5">
        <v>451147.62183999998</v>
      </c>
      <c r="P17" s="4">
        <v>0</v>
      </c>
      <c r="R17">
        <v>0.29042280042636093</v>
      </c>
      <c r="S17">
        <v>0.1161691201705443</v>
      </c>
      <c r="T17">
        <v>0.29042280042636093</v>
      </c>
      <c r="U17">
        <v>0.29042280042636093</v>
      </c>
      <c r="V17">
        <v>0.29042280042636093</v>
      </c>
      <c r="W17">
        <v>0.29042280930155823</v>
      </c>
      <c r="X17">
        <v>0.32209813171599222</v>
      </c>
      <c r="Y17">
        <v>0.29042280930155823</v>
      </c>
      <c r="Z17">
        <v>0.29042280930155823</v>
      </c>
      <c r="AA17">
        <v>0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Q17">
        <v>1.6352348519402461E-2</v>
      </c>
      <c r="AR17">
        <v>1.2747370387705591E-2</v>
      </c>
      <c r="AS17">
        <v>6.0082968861614539E-3</v>
      </c>
      <c r="AT17">
        <v>2.1524374336022969E-2</v>
      </c>
      <c r="AU17">
        <v>2.1524374336022969E-2</v>
      </c>
      <c r="AV17">
        <v>2.6696400336254471E-2</v>
      </c>
      <c r="AW17">
        <v>4.2867780127224919E-2</v>
      </c>
      <c r="AX17">
        <v>2.5860129083102531E-2</v>
      </c>
      <c r="AY17">
        <v>3.7040451969495493E-2</v>
      </c>
      <c r="AZ17">
        <v>2.5860129083102531E-2</v>
      </c>
      <c r="BA17">
        <v>1.034405163324101E-2</v>
      </c>
      <c r="BC17" s="1">
        <v>1</v>
      </c>
      <c r="BD17" s="1">
        <v>3</v>
      </c>
      <c r="BE17" s="1">
        <v>3</v>
      </c>
      <c r="BF17" s="1">
        <v>1</v>
      </c>
      <c r="BG17" s="1">
        <v>1</v>
      </c>
      <c r="BH17" s="1">
        <v>1</v>
      </c>
      <c r="BI17" s="1">
        <v>3</v>
      </c>
      <c r="BJ17" s="1">
        <v>1</v>
      </c>
      <c r="BK17" s="1">
        <v>1</v>
      </c>
      <c r="BL17" s="1">
        <v>2</v>
      </c>
      <c r="BM17" s="1">
        <v>0</v>
      </c>
      <c r="BO17" s="1">
        <v>2</v>
      </c>
      <c r="BP17" s="1">
        <v>2</v>
      </c>
      <c r="BQ17" s="1">
        <v>2</v>
      </c>
      <c r="BR17" s="1">
        <v>-4</v>
      </c>
      <c r="BS17" s="1">
        <v>-8</v>
      </c>
      <c r="BT17" s="1">
        <v>-8</v>
      </c>
      <c r="BU17" s="1">
        <v>-8</v>
      </c>
      <c r="BV17" s="1">
        <v>2</v>
      </c>
      <c r="BW17" s="1">
        <v>-6</v>
      </c>
      <c r="BX17" s="1">
        <v>4</v>
      </c>
      <c r="BY17" s="1">
        <v>0</v>
      </c>
      <c r="CA17" s="1">
        <v>6</v>
      </c>
      <c r="CB17" s="1">
        <v>2</v>
      </c>
      <c r="CC17" s="1">
        <v>8</v>
      </c>
      <c r="CD17" s="1">
        <v>-8</v>
      </c>
      <c r="CE17" s="1">
        <v>-8</v>
      </c>
      <c r="CF17" s="1">
        <v>-8</v>
      </c>
      <c r="CG17" s="1">
        <v>-8</v>
      </c>
      <c r="CH17" s="1">
        <v>2</v>
      </c>
      <c r="CI17" s="1">
        <v>-8</v>
      </c>
      <c r="CJ17" s="1">
        <v>4</v>
      </c>
      <c r="CK17" s="1">
        <v>0</v>
      </c>
    </row>
    <row r="18" spans="2:90" x14ac:dyDescent="0.2">
      <c r="B18" t="s">
        <v>22</v>
      </c>
      <c r="C18" t="s">
        <v>25</v>
      </c>
      <c r="D18" s="12">
        <v>2767080</v>
      </c>
      <c r="E18">
        <v>16</v>
      </c>
      <c r="F18" s="5">
        <v>636805.09885000007</v>
      </c>
      <c r="G18" s="5">
        <f t="shared" si="0"/>
        <v>9554.0854306661549</v>
      </c>
      <c r="H18" s="5">
        <v>1167992.8517859681</v>
      </c>
      <c r="I18" s="5">
        <v>636805.09885000007</v>
      </c>
      <c r="J18" s="5">
        <v>1237358.8729000001</v>
      </c>
      <c r="K18" s="5">
        <v>1237695.8008077999</v>
      </c>
      <c r="L18" s="5">
        <v>2053707.6928077999</v>
      </c>
      <c r="M18" s="5">
        <v>637142.02675780002</v>
      </c>
      <c r="N18" s="5">
        <v>637142.02675780002</v>
      </c>
      <c r="O18" s="5">
        <v>863610.13584999996</v>
      </c>
      <c r="P18" s="4">
        <v>0</v>
      </c>
      <c r="R18">
        <v>0.1461582552926228</v>
      </c>
      <c r="S18">
        <v>5.8463302117049122E-2</v>
      </c>
      <c r="T18">
        <v>0.1461582552926228</v>
      </c>
      <c r="U18">
        <v>0.1461582552926228</v>
      </c>
      <c r="V18">
        <v>0.1461582552926228</v>
      </c>
      <c r="W18">
        <v>0.1461745408432582</v>
      </c>
      <c r="X18">
        <v>0.114020826655028</v>
      </c>
      <c r="Y18">
        <v>0.1461745408432582</v>
      </c>
      <c r="Z18">
        <v>0.1461745408432582</v>
      </c>
      <c r="AA18">
        <v>0</v>
      </c>
      <c r="AB18">
        <v>0</v>
      </c>
      <c r="AD18">
        <v>1.0148905778745269E-3</v>
      </c>
      <c r="AE18">
        <v>8.7715221273558432E-4</v>
      </c>
      <c r="AF18">
        <v>2.2956394189823829E-4</v>
      </c>
      <c r="AG18">
        <v>1.407553895862672E-3</v>
      </c>
      <c r="AH18">
        <v>1.407553895862672E-3</v>
      </c>
      <c r="AI18">
        <v>1.800242792804208E-3</v>
      </c>
      <c r="AJ18">
        <v>2.9277304103734691E-3</v>
      </c>
      <c r="AK18">
        <v>1.9633165899407231E-3</v>
      </c>
      <c r="AL18">
        <v>2.585569428780497E-3</v>
      </c>
      <c r="AM18">
        <v>1.9633165899407231E-3</v>
      </c>
      <c r="AN18">
        <v>7.8532663597628914E-4</v>
      </c>
      <c r="AQ18">
        <v>5.2287130595347221E-3</v>
      </c>
      <c r="AR18">
        <v>4.519085436319176E-3</v>
      </c>
      <c r="AS18">
        <v>1.1827127053592439E-3</v>
      </c>
      <c r="AT18">
        <v>7.2517132366224629E-3</v>
      </c>
      <c r="AU18">
        <v>7.2517132366224629E-3</v>
      </c>
      <c r="AV18">
        <v>9.2748451963974802E-3</v>
      </c>
      <c r="AW18">
        <v>1.508365784967342E-2</v>
      </c>
      <c r="AX18">
        <v>1.0115000885438701E-2</v>
      </c>
      <c r="AY18">
        <v>1.332084555057296E-2</v>
      </c>
      <c r="AZ18">
        <v>1.0115000885438701E-2</v>
      </c>
      <c r="BA18">
        <v>4.046000354175479E-3</v>
      </c>
      <c r="BC18" s="1">
        <v>2</v>
      </c>
      <c r="BD18" s="1">
        <v>6</v>
      </c>
      <c r="BE18" s="1">
        <v>6</v>
      </c>
      <c r="BF18" s="1">
        <v>2</v>
      </c>
      <c r="BG18" s="1">
        <v>2</v>
      </c>
      <c r="BH18" s="1">
        <v>2</v>
      </c>
      <c r="BI18" s="1">
        <v>6</v>
      </c>
      <c r="BJ18" s="1">
        <v>2</v>
      </c>
      <c r="BK18" s="1">
        <v>2</v>
      </c>
      <c r="BL18" s="1">
        <v>4</v>
      </c>
      <c r="BM18" s="1">
        <v>0</v>
      </c>
      <c r="BO18" s="1">
        <v>3</v>
      </c>
      <c r="BP18" s="1">
        <v>3</v>
      </c>
      <c r="BQ18" s="1">
        <v>3</v>
      </c>
      <c r="BR18" s="1">
        <v>-6</v>
      </c>
      <c r="BS18" s="1">
        <v>-12</v>
      </c>
      <c r="BT18" s="1">
        <v>-12</v>
      </c>
      <c r="BU18" s="1">
        <v>-12</v>
      </c>
      <c r="BV18" s="1">
        <v>3</v>
      </c>
      <c r="BW18" s="1">
        <v>-9</v>
      </c>
      <c r="BX18" s="1">
        <v>6</v>
      </c>
      <c r="BY18" s="1">
        <v>0</v>
      </c>
      <c r="CA18" s="1">
        <v>9</v>
      </c>
      <c r="CB18" s="1">
        <v>3</v>
      </c>
      <c r="CC18" s="1">
        <v>12</v>
      </c>
      <c r="CD18" s="1">
        <v>-12</v>
      </c>
      <c r="CE18" s="1">
        <v>-12</v>
      </c>
      <c r="CF18" s="1">
        <v>-12</v>
      </c>
      <c r="CG18" s="1">
        <v>-12</v>
      </c>
      <c r="CH18" s="1">
        <v>3</v>
      </c>
      <c r="CI18" s="1">
        <v>-12</v>
      </c>
      <c r="CJ18" s="1">
        <v>6</v>
      </c>
      <c r="CK18" s="1">
        <v>0</v>
      </c>
    </row>
    <row r="19" spans="2:90" x14ac:dyDescent="0.2">
      <c r="B19" t="s">
        <v>22</v>
      </c>
      <c r="C19" t="s">
        <v>25</v>
      </c>
      <c r="D19" s="12">
        <v>2300660</v>
      </c>
      <c r="E19">
        <v>17</v>
      </c>
      <c r="F19" s="5">
        <v>602616.79773400002</v>
      </c>
      <c r="G19" s="5">
        <f t="shared" si="0"/>
        <v>7943.6453542782992</v>
      </c>
      <c r="H19" s="5">
        <v>1106799.751153968</v>
      </c>
      <c r="I19" s="5">
        <v>602616.79773400002</v>
      </c>
      <c r="J19" s="5">
        <v>1172574.021468</v>
      </c>
      <c r="K19" s="5">
        <v>1174764.056414</v>
      </c>
      <c r="L19" s="5">
        <v>1853228.6904140001</v>
      </c>
      <c r="M19" s="5">
        <v>604806.83267999999</v>
      </c>
      <c r="N19" s="5">
        <v>604806.83267999999</v>
      </c>
      <c r="O19" s="5">
        <v>780587.97753399995</v>
      </c>
      <c r="P19" s="4">
        <v>0</v>
      </c>
      <c r="R19">
        <v>0.2599672965709881</v>
      </c>
      <c r="S19">
        <v>0.10398691862839519</v>
      </c>
      <c r="T19">
        <v>0.2599672965709881</v>
      </c>
      <c r="U19">
        <v>0.2599672965709881</v>
      </c>
      <c r="V19">
        <v>0.2599672965709881</v>
      </c>
      <c r="W19">
        <v>0.25997736288743611</v>
      </c>
      <c r="X19">
        <v>0.18307740018057919</v>
      </c>
      <c r="Y19">
        <v>0.25997736288743611</v>
      </c>
      <c r="Z19">
        <v>0.25997736288743611</v>
      </c>
      <c r="AA19">
        <v>0</v>
      </c>
      <c r="AB19">
        <v>0</v>
      </c>
      <c r="AD19">
        <v>7.7586932860851561E-3</v>
      </c>
      <c r="AE19">
        <v>6.1662511947415894E-3</v>
      </c>
      <c r="AF19">
        <v>2.654070152239276E-3</v>
      </c>
      <c r="AG19">
        <v>1.03110048530081E-2</v>
      </c>
      <c r="AH19">
        <v>1.03110048530081E-2</v>
      </c>
      <c r="AI19">
        <v>1.286341918943466E-2</v>
      </c>
      <c r="AJ19">
        <v>1.9735263232952861E-2</v>
      </c>
      <c r="AK19">
        <v>1.27615578346147E-2</v>
      </c>
      <c r="AL19">
        <v>1.7968042323280541E-2</v>
      </c>
      <c r="AM19">
        <v>1.27615578346147E-2</v>
      </c>
      <c r="AN19">
        <v>5.1046231338458788E-3</v>
      </c>
      <c r="AQ19">
        <v>1.8079458706484121E-2</v>
      </c>
      <c r="AR19">
        <v>1.4368719027607059E-2</v>
      </c>
      <c r="AS19">
        <v>6.1845661314617606E-3</v>
      </c>
      <c r="AT19">
        <v>2.4026904993995301E-2</v>
      </c>
      <c r="AU19">
        <v>2.4026904993995301E-2</v>
      </c>
      <c r="AV19">
        <v>2.9974590757012028E-2</v>
      </c>
      <c r="AW19">
        <v>4.5987496028702987E-2</v>
      </c>
      <c r="AX19">
        <v>2.973723143755589E-2</v>
      </c>
      <c r="AY19">
        <v>4.1869483332034392E-2</v>
      </c>
      <c r="AZ19">
        <v>2.973723143755589E-2</v>
      </c>
      <c r="BA19">
        <v>1.189489257502236E-2</v>
      </c>
      <c r="BC19" s="1">
        <v>2</v>
      </c>
      <c r="BD19" s="1">
        <v>6</v>
      </c>
      <c r="BE19" s="1">
        <v>6</v>
      </c>
      <c r="BF19" s="1">
        <v>2</v>
      </c>
      <c r="BG19" s="1">
        <v>2</v>
      </c>
      <c r="BH19" s="1">
        <v>2</v>
      </c>
      <c r="BI19" s="1">
        <v>6</v>
      </c>
      <c r="BJ19" s="1">
        <v>2</v>
      </c>
      <c r="BK19" s="1">
        <v>2</v>
      </c>
      <c r="BL19" s="1">
        <v>4</v>
      </c>
      <c r="BM19" s="1">
        <v>0</v>
      </c>
      <c r="BO19" s="1">
        <v>3</v>
      </c>
      <c r="BP19" s="1">
        <v>3</v>
      </c>
      <c r="BQ19" s="1">
        <v>3</v>
      </c>
      <c r="BR19" s="1">
        <v>-6</v>
      </c>
      <c r="BS19" s="1">
        <v>-12</v>
      </c>
      <c r="BT19" s="1">
        <v>-12</v>
      </c>
      <c r="BU19" s="1">
        <v>-12</v>
      </c>
      <c r="BV19" s="1">
        <v>3</v>
      </c>
      <c r="BW19" s="1">
        <v>-9</v>
      </c>
      <c r="BX19" s="1">
        <v>6</v>
      </c>
      <c r="BY19" s="1">
        <v>0</v>
      </c>
      <c r="CA19" s="1">
        <v>9</v>
      </c>
      <c r="CB19" s="1">
        <v>3</v>
      </c>
      <c r="CC19" s="1">
        <v>12</v>
      </c>
      <c r="CD19" s="1">
        <v>-12</v>
      </c>
      <c r="CE19" s="1">
        <v>-12</v>
      </c>
      <c r="CF19" s="1">
        <v>-12</v>
      </c>
      <c r="CG19" s="1">
        <v>-12</v>
      </c>
      <c r="CH19" s="1">
        <v>3</v>
      </c>
      <c r="CI19" s="1">
        <v>-12</v>
      </c>
      <c r="CJ19" s="1">
        <v>6</v>
      </c>
      <c r="CK19" s="1">
        <v>0</v>
      </c>
    </row>
    <row r="20" spans="2:90" x14ac:dyDescent="0.2">
      <c r="B20" t="s">
        <v>22</v>
      </c>
      <c r="C20" t="s">
        <v>25</v>
      </c>
      <c r="D20" s="12">
        <v>2575060</v>
      </c>
      <c r="E20">
        <v>18</v>
      </c>
      <c r="F20" s="5">
        <v>668248.04596899997</v>
      </c>
      <c r="G20" s="5">
        <f t="shared" si="0"/>
        <v>8891.0849086731105</v>
      </c>
      <c r="H20" s="5">
        <v>1224272.0866239681</v>
      </c>
      <c r="I20" s="5">
        <v>668248.04596899997</v>
      </c>
      <c r="J20" s="5">
        <v>1296941.437438</v>
      </c>
      <c r="K20" s="5">
        <v>1300119.895578</v>
      </c>
      <c r="L20" s="5">
        <v>2059505.0895779999</v>
      </c>
      <c r="M20" s="5">
        <v>671426.50410899997</v>
      </c>
      <c r="N20" s="5">
        <v>671426.50410899997</v>
      </c>
      <c r="O20" s="5">
        <v>870166.70526900003</v>
      </c>
      <c r="P20" s="4">
        <v>0</v>
      </c>
      <c r="R20">
        <v>0.31823073451796841</v>
      </c>
      <c r="S20">
        <v>0.12729229380718729</v>
      </c>
      <c r="T20">
        <v>0.31823073451796841</v>
      </c>
      <c r="U20">
        <v>0.31823073451796841</v>
      </c>
      <c r="V20">
        <v>0.31823073451796841</v>
      </c>
      <c r="W20">
        <v>0.31834871092706563</v>
      </c>
      <c r="X20">
        <v>0.23095282379891591</v>
      </c>
      <c r="Y20">
        <v>0.31834871092706563</v>
      </c>
      <c r="Z20">
        <v>0.31834871092706563</v>
      </c>
      <c r="AA20">
        <v>0</v>
      </c>
      <c r="AB20">
        <v>0</v>
      </c>
      <c r="AD20">
        <v>1.349414619401949E-2</v>
      </c>
      <c r="AE20">
        <v>1.034521628425842E-2</v>
      </c>
      <c r="AF20">
        <v>5.2482165162684533E-3</v>
      </c>
      <c r="AG20">
        <v>1.7617111032895E-2</v>
      </c>
      <c r="AH20">
        <v>1.7617111032895E-2</v>
      </c>
      <c r="AI20">
        <v>2.1742021522116621E-2</v>
      </c>
      <c r="AJ20">
        <v>3.2669595359976399E-2</v>
      </c>
      <c r="AK20">
        <v>2.0614824194377591E-2</v>
      </c>
      <c r="AL20">
        <v>2.9987951199867659E-2</v>
      </c>
      <c r="AM20">
        <v>2.0614824194377591E-2</v>
      </c>
      <c r="AN20">
        <v>8.2459296777510349E-3</v>
      </c>
      <c r="AQ20">
        <v>0.10989566160950121</v>
      </c>
      <c r="AR20">
        <v>8.4250931604389193E-2</v>
      </c>
      <c r="AS20">
        <v>4.2741216675186752E-2</v>
      </c>
      <c r="AT20">
        <v>0.14347288407665851</v>
      </c>
      <c r="AU20">
        <v>0.14347288407665851</v>
      </c>
      <c r="AV20">
        <v>0.17706595182435231</v>
      </c>
      <c r="AW20">
        <v>0.26605957464655827</v>
      </c>
      <c r="AX20">
        <v>0.16788611233578629</v>
      </c>
      <c r="AY20">
        <v>0.2442203967586668</v>
      </c>
      <c r="AZ20">
        <v>0.16788611233578629</v>
      </c>
      <c r="BA20">
        <v>6.7154444934314508E-2</v>
      </c>
      <c r="BC20" s="1">
        <v>2</v>
      </c>
      <c r="BD20" s="1">
        <v>6</v>
      </c>
      <c r="BE20" s="1">
        <v>6</v>
      </c>
      <c r="BF20" s="1">
        <v>2</v>
      </c>
      <c r="BG20" s="1">
        <v>2</v>
      </c>
      <c r="BH20" s="1">
        <v>2</v>
      </c>
      <c r="BI20" s="1">
        <v>6</v>
      </c>
      <c r="BJ20" s="1">
        <v>2</v>
      </c>
      <c r="BK20" s="1">
        <v>2</v>
      </c>
      <c r="BL20" s="1">
        <v>4</v>
      </c>
      <c r="BM20" s="1">
        <v>0</v>
      </c>
      <c r="BO20" s="1">
        <v>3</v>
      </c>
      <c r="BP20" s="1">
        <v>3</v>
      </c>
      <c r="BQ20" s="1">
        <v>3</v>
      </c>
      <c r="BR20" s="1">
        <v>-6</v>
      </c>
      <c r="BS20" s="1">
        <v>-12</v>
      </c>
      <c r="BT20" s="1">
        <v>-12</v>
      </c>
      <c r="BU20" s="1">
        <v>-12</v>
      </c>
      <c r="BV20" s="1">
        <v>3</v>
      </c>
      <c r="BW20" s="1">
        <v>-9</v>
      </c>
      <c r="BX20" s="1">
        <v>6</v>
      </c>
      <c r="BY20" s="1">
        <v>0</v>
      </c>
      <c r="CA20" s="1">
        <v>9</v>
      </c>
      <c r="CB20" s="1">
        <v>3</v>
      </c>
      <c r="CC20" s="1">
        <v>12</v>
      </c>
      <c r="CD20" s="1">
        <v>-12</v>
      </c>
      <c r="CE20" s="1">
        <v>-12</v>
      </c>
      <c r="CF20" s="1">
        <v>-12</v>
      </c>
      <c r="CG20" s="1">
        <v>-12</v>
      </c>
      <c r="CH20" s="1">
        <v>3</v>
      </c>
      <c r="CI20" s="1">
        <v>-12</v>
      </c>
      <c r="CJ20" s="1">
        <v>6</v>
      </c>
      <c r="CK20" s="1">
        <v>0</v>
      </c>
    </row>
    <row r="21" spans="2:90" x14ac:dyDescent="0.2">
      <c r="B21" t="s">
        <v>22</v>
      </c>
      <c r="C21" t="s">
        <v>25</v>
      </c>
      <c r="D21" s="12">
        <v>2628580</v>
      </c>
      <c r="E21">
        <v>19</v>
      </c>
      <c r="F21" s="5">
        <v>601253.63311000005</v>
      </c>
      <c r="G21" s="5">
        <f t="shared" si="0"/>
        <v>9075.877054996763</v>
      </c>
      <c r="H21" s="5">
        <v>1104359.8443059679</v>
      </c>
      <c r="I21" s="5">
        <v>601253.63311000005</v>
      </c>
      <c r="J21" s="5">
        <v>1169990.9034200001</v>
      </c>
      <c r="K21" s="5">
        <v>1174009.7717019999</v>
      </c>
      <c r="L21" s="5">
        <v>1949178.013702</v>
      </c>
      <c r="M21" s="5">
        <v>605272.50139200001</v>
      </c>
      <c r="N21" s="5">
        <v>605272.50139200001</v>
      </c>
      <c r="O21" s="5">
        <v>816226.23210999998</v>
      </c>
      <c r="P21" s="4">
        <v>0</v>
      </c>
      <c r="R21">
        <v>0.32031311646020688</v>
      </c>
      <c r="S21">
        <v>0.12812524658408281</v>
      </c>
      <c r="T21">
        <v>0.32031311646020688</v>
      </c>
      <c r="U21">
        <v>0.32031311646020688</v>
      </c>
      <c r="V21">
        <v>0.32031311646020688</v>
      </c>
      <c r="W21">
        <v>0.32047890971508458</v>
      </c>
      <c r="X21">
        <v>0.29607946089607567</v>
      </c>
      <c r="Y21">
        <v>0.32047890971508458</v>
      </c>
      <c r="Z21">
        <v>0.32047890971508458</v>
      </c>
      <c r="AA21">
        <v>0</v>
      </c>
      <c r="AB21">
        <v>0</v>
      </c>
      <c r="AD21">
        <v>1.803798472551376E-2</v>
      </c>
      <c r="AE21">
        <v>1.381193763240633E-2</v>
      </c>
      <c r="AF21">
        <v>7.0434118218457168E-3</v>
      </c>
      <c r="AG21">
        <v>2.3535271177347789E-2</v>
      </c>
      <c r="AH21">
        <v>2.3535271177347789E-2</v>
      </c>
      <c r="AI21">
        <v>2.903620328123719E-2</v>
      </c>
      <c r="AJ21">
        <v>4.499153959903944E-2</v>
      </c>
      <c r="AK21">
        <v>2.7486432259170121E-2</v>
      </c>
      <c r="AL21">
        <v>4.0030776184905227E-2</v>
      </c>
      <c r="AM21">
        <v>2.7486432259170121E-2</v>
      </c>
      <c r="AN21">
        <v>1.0994572903668049E-2</v>
      </c>
      <c r="AQ21">
        <v>0.2386355499166426</v>
      </c>
      <c r="AR21">
        <v>0.1827265840657695</v>
      </c>
      <c r="AS21">
        <v>9.3181609751455244E-2</v>
      </c>
      <c r="AT21">
        <v>0.31136251999923631</v>
      </c>
      <c r="AU21">
        <v>0.31136251999923631</v>
      </c>
      <c r="AV21">
        <v>0.38413772064617963</v>
      </c>
      <c r="AW21">
        <v>0.59522063895679334</v>
      </c>
      <c r="AX21">
        <v>0.36363485041296839</v>
      </c>
      <c r="AY21">
        <v>0.52959166081136699</v>
      </c>
      <c r="AZ21">
        <v>0.36363485041296839</v>
      </c>
      <c r="BA21">
        <v>0.1454539401651874</v>
      </c>
      <c r="BC21" s="1">
        <v>2</v>
      </c>
      <c r="BD21" s="1">
        <v>6</v>
      </c>
      <c r="BE21" s="1">
        <v>6</v>
      </c>
      <c r="BF21" s="1">
        <v>2</v>
      </c>
      <c r="BG21" s="1">
        <v>2</v>
      </c>
      <c r="BH21" s="1">
        <v>2</v>
      </c>
      <c r="BI21" s="1">
        <v>6</v>
      </c>
      <c r="BJ21" s="1">
        <v>2</v>
      </c>
      <c r="BK21" s="1">
        <v>2</v>
      </c>
      <c r="BL21" s="1">
        <v>4</v>
      </c>
      <c r="BM21" s="1">
        <v>0</v>
      </c>
      <c r="BO21" s="1">
        <v>3</v>
      </c>
      <c r="BP21" s="1">
        <v>3</v>
      </c>
      <c r="BQ21" s="1">
        <v>3</v>
      </c>
      <c r="BR21" s="1">
        <v>-6</v>
      </c>
      <c r="BS21" s="1">
        <v>-12</v>
      </c>
      <c r="BT21" s="1">
        <v>-12</v>
      </c>
      <c r="BU21" s="1">
        <v>-12</v>
      </c>
      <c r="BV21" s="1">
        <v>3</v>
      </c>
      <c r="BW21" s="1">
        <v>-9</v>
      </c>
      <c r="BX21" s="1">
        <v>6</v>
      </c>
      <c r="BY21" s="1">
        <v>0</v>
      </c>
      <c r="CA21" s="1">
        <v>9</v>
      </c>
      <c r="CB21" s="1">
        <v>3</v>
      </c>
      <c r="CC21" s="1">
        <v>12</v>
      </c>
      <c r="CD21" s="1">
        <v>-12</v>
      </c>
      <c r="CE21" s="1">
        <v>-12</v>
      </c>
      <c r="CF21" s="1">
        <v>-12</v>
      </c>
      <c r="CG21" s="1">
        <v>-12</v>
      </c>
      <c r="CH21" s="1">
        <v>3</v>
      </c>
      <c r="CI21" s="1">
        <v>-12</v>
      </c>
      <c r="CJ21" s="1">
        <v>6</v>
      </c>
      <c r="CK21" s="1">
        <v>0</v>
      </c>
    </row>
    <row r="22" spans="2:90" x14ac:dyDescent="0.2">
      <c r="B22" t="s">
        <v>22</v>
      </c>
      <c r="C22" t="s">
        <v>25</v>
      </c>
      <c r="D22" s="12">
        <v>776032</v>
      </c>
      <c r="E22">
        <v>20</v>
      </c>
      <c r="F22" s="5">
        <v>351195.64090599999</v>
      </c>
      <c r="G22" s="5">
        <f t="shared" si="0"/>
        <v>2679.4584995485197</v>
      </c>
      <c r="H22" s="5">
        <v>656784.99029796815</v>
      </c>
      <c r="I22" s="5">
        <v>351195.64090599999</v>
      </c>
      <c r="J22" s="5">
        <v>696145.48421199992</v>
      </c>
      <c r="K22" s="5">
        <v>696958.67289599997</v>
      </c>
      <c r="L22" s="5">
        <v>925810.50969599991</v>
      </c>
      <c r="M22" s="5">
        <v>352008.82958999998</v>
      </c>
      <c r="N22" s="5">
        <v>352008.82958999998</v>
      </c>
      <c r="O22" s="5">
        <v>384212.40990600002</v>
      </c>
      <c r="P22" s="4">
        <v>0</v>
      </c>
      <c r="R22">
        <v>0.31374597076617838</v>
      </c>
      <c r="S22">
        <v>0.12549838830647139</v>
      </c>
      <c r="T22">
        <v>0.31374597076617838</v>
      </c>
      <c r="U22">
        <v>0.31374597076617838</v>
      </c>
      <c r="V22">
        <v>0.31374597076617838</v>
      </c>
      <c r="W22">
        <v>0.31413967361243439</v>
      </c>
      <c r="X22">
        <v>0.32894253753923042</v>
      </c>
      <c r="Y22">
        <v>0.31413967361243439</v>
      </c>
      <c r="Z22">
        <v>0.31413967361243439</v>
      </c>
      <c r="AA22">
        <v>0</v>
      </c>
      <c r="AB22">
        <v>0</v>
      </c>
      <c r="AD22">
        <v>3.1952819288053129E-3</v>
      </c>
      <c r="AE22">
        <v>2.4561027254865588E-3</v>
      </c>
      <c r="AF22">
        <v>1.23196533886459E-3</v>
      </c>
      <c r="AG22">
        <v>4.1769402237756747E-3</v>
      </c>
      <c r="AH22">
        <v>4.1769402237756747E-3</v>
      </c>
      <c r="AI22">
        <v>5.1601444454051583E-3</v>
      </c>
      <c r="AJ22">
        <v>8.1632447469684698E-3</v>
      </c>
      <c r="AK22">
        <v>4.9082914748518067E-3</v>
      </c>
      <c r="AL22">
        <v>7.1234610353458801E-3</v>
      </c>
      <c r="AM22">
        <v>4.9082914748518067E-3</v>
      </c>
      <c r="AN22">
        <v>1.9633165899407231E-3</v>
      </c>
      <c r="AQ22">
        <v>1.428590458202304E-3</v>
      </c>
      <c r="AR22">
        <v>1.0981080844114019E-3</v>
      </c>
      <c r="AS22">
        <v>5.508039563181708E-4</v>
      </c>
      <c r="AT22">
        <v>1.8674837091443709E-3</v>
      </c>
      <c r="AU22">
        <v>1.8674837091443709E-3</v>
      </c>
      <c r="AV22">
        <v>2.3070681341748312E-3</v>
      </c>
      <c r="AW22">
        <v>3.6497353952893701E-3</v>
      </c>
      <c r="AX22">
        <v>2.1944662547103331E-3</v>
      </c>
      <c r="AY22">
        <v>3.184854636058965E-3</v>
      </c>
      <c r="AZ22">
        <v>2.1944662547103331E-3</v>
      </c>
      <c r="BA22">
        <v>8.777865018841334E-4</v>
      </c>
      <c r="BC22" s="1">
        <v>2</v>
      </c>
      <c r="BD22" s="1">
        <v>6</v>
      </c>
      <c r="BE22" s="1">
        <v>6</v>
      </c>
      <c r="BF22" s="1">
        <v>2</v>
      </c>
      <c r="BG22" s="1">
        <v>2</v>
      </c>
      <c r="BH22" s="1">
        <v>2</v>
      </c>
      <c r="BI22" s="1">
        <v>6</v>
      </c>
      <c r="BJ22" s="1">
        <v>2</v>
      </c>
      <c r="BK22" s="1">
        <v>2</v>
      </c>
      <c r="BL22" s="1">
        <v>4</v>
      </c>
      <c r="BM22" s="1">
        <v>0</v>
      </c>
      <c r="BO22" s="1">
        <v>3</v>
      </c>
      <c r="BP22" s="1">
        <v>3</v>
      </c>
      <c r="BQ22" s="1">
        <v>3</v>
      </c>
      <c r="BR22" s="1">
        <v>-6</v>
      </c>
      <c r="BS22" s="1">
        <v>-12</v>
      </c>
      <c r="BT22" s="1">
        <v>-12</v>
      </c>
      <c r="BU22" s="1">
        <v>-12</v>
      </c>
      <c r="BV22" s="1">
        <v>3</v>
      </c>
      <c r="BW22" s="1">
        <v>-9</v>
      </c>
      <c r="BX22" s="1">
        <v>6</v>
      </c>
      <c r="BY22" s="1">
        <v>0</v>
      </c>
      <c r="CA22" s="1">
        <v>9</v>
      </c>
      <c r="CB22" s="1">
        <v>3</v>
      </c>
      <c r="CC22" s="1">
        <v>12</v>
      </c>
      <c r="CD22" s="1">
        <v>-12</v>
      </c>
      <c r="CE22" s="1">
        <v>-12</v>
      </c>
      <c r="CF22" s="1">
        <v>-12</v>
      </c>
      <c r="CG22" s="1">
        <v>-12</v>
      </c>
      <c r="CH22" s="1">
        <v>3</v>
      </c>
      <c r="CI22" s="1">
        <v>-12</v>
      </c>
      <c r="CJ22" s="1">
        <v>6</v>
      </c>
      <c r="CK22" s="1">
        <v>0</v>
      </c>
    </row>
    <row r="23" spans="2:90" x14ac:dyDescent="0.2">
      <c r="B23" t="s">
        <v>22</v>
      </c>
      <c r="C23" t="s">
        <v>25</v>
      </c>
      <c r="D23" s="12">
        <v>2874160</v>
      </c>
      <c r="E23">
        <v>21</v>
      </c>
      <c r="F23" s="5">
        <v>627694.72556799999</v>
      </c>
      <c r="G23" s="5">
        <f t="shared" si="0"/>
        <v>9923.8078340356751</v>
      </c>
      <c r="H23" s="5">
        <v>1151686.338421968</v>
      </c>
      <c r="I23" s="5">
        <v>627694.72556799999</v>
      </c>
      <c r="J23" s="5">
        <v>1220095.242936</v>
      </c>
      <c r="K23" s="5">
        <v>1222477.4718180001</v>
      </c>
      <c r="L23" s="5">
        <v>2070067.2558180001</v>
      </c>
      <c r="M23" s="5">
        <v>630076.95444999996</v>
      </c>
      <c r="N23" s="5">
        <v>630076.95444999996</v>
      </c>
      <c r="O23" s="5">
        <v>867492.67116799997</v>
      </c>
      <c r="P23" s="4">
        <v>0</v>
      </c>
      <c r="R23">
        <v>0.42371885810937499</v>
      </c>
      <c r="S23">
        <v>0.1694875432437499</v>
      </c>
      <c r="T23">
        <v>0.42371885810937499</v>
      </c>
      <c r="U23">
        <v>0.42371885810937499</v>
      </c>
      <c r="V23">
        <v>0.42371885810937499</v>
      </c>
      <c r="W23">
        <v>0.42372524790298371</v>
      </c>
      <c r="X23">
        <v>0.44272070952068721</v>
      </c>
      <c r="Y23">
        <v>0.42372524790298371</v>
      </c>
      <c r="Z23">
        <v>0.42372524790298371</v>
      </c>
      <c r="AA23">
        <v>0</v>
      </c>
      <c r="AB23">
        <v>0</v>
      </c>
      <c r="AD23">
        <v>1.160673637483031E-2</v>
      </c>
      <c r="AE23">
        <v>8.4122624026183122E-3</v>
      </c>
      <c r="AF23">
        <v>5.3241232870200007E-3</v>
      </c>
      <c r="AG23">
        <v>1.4748042918735471E-2</v>
      </c>
      <c r="AH23">
        <v>1.4748042918735471E-2</v>
      </c>
      <c r="AI23">
        <v>1.7889429751842531E-2</v>
      </c>
      <c r="AJ23">
        <v>2.7552031655094771E-2</v>
      </c>
      <c r="AK23">
        <v>1.5706532719525781E-2</v>
      </c>
      <c r="AL23">
        <v>2.4172042839652848E-2</v>
      </c>
      <c r="AM23">
        <v>1.5706532719525781E-2</v>
      </c>
      <c r="AN23">
        <v>6.2826130878103131E-3</v>
      </c>
      <c r="AQ23">
        <v>0.42126608012531302</v>
      </c>
      <c r="AR23">
        <v>0.30532276196273761</v>
      </c>
      <c r="AS23">
        <v>0.19323886360429229</v>
      </c>
      <c r="AT23">
        <v>0.5352796883858234</v>
      </c>
      <c r="AU23">
        <v>0.5352796883858234</v>
      </c>
      <c r="AV23">
        <v>0.64929621074003518</v>
      </c>
      <c r="AW23">
        <v>1</v>
      </c>
      <c r="AX23">
        <v>0.57006804130255195</v>
      </c>
      <c r="AY23">
        <v>0.87732342726105594</v>
      </c>
      <c r="AZ23">
        <v>0.57006804130255195</v>
      </c>
      <c r="BA23">
        <v>0.22802721652102079</v>
      </c>
      <c r="BC23" s="1">
        <v>2</v>
      </c>
      <c r="BD23" s="1">
        <v>6</v>
      </c>
      <c r="BE23" s="1">
        <v>6</v>
      </c>
      <c r="BF23" s="1">
        <v>2</v>
      </c>
      <c r="BG23" s="1">
        <v>2</v>
      </c>
      <c r="BH23" s="1">
        <v>2</v>
      </c>
      <c r="BI23" s="1">
        <v>6</v>
      </c>
      <c r="BJ23" s="1">
        <v>2</v>
      </c>
      <c r="BK23" s="1">
        <v>2</v>
      </c>
      <c r="BL23" s="1">
        <v>4</v>
      </c>
      <c r="BM23" s="1">
        <v>0</v>
      </c>
      <c r="BO23" s="1">
        <v>3</v>
      </c>
      <c r="BP23" s="1">
        <v>3</v>
      </c>
      <c r="BQ23" s="1">
        <v>3</v>
      </c>
      <c r="BR23" s="1">
        <v>-6</v>
      </c>
      <c r="BS23" s="1">
        <v>-12</v>
      </c>
      <c r="BT23" s="1">
        <v>-12</v>
      </c>
      <c r="BU23" s="1">
        <v>-12</v>
      </c>
      <c r="BV23" s="1">
        <v>3</v>
      </c>
      <c r="BW23" s="1">
        <v>-9</v>
      </c>
      <c r="BX23" s="1">
        <v>6</v>
      </c>
      <c r="BY23" s="1">
        <v>0</v>
      </c>
      <c r="CA23" s="1">
        <v>9</v>
      </c>
      <c r="CB23" s="1">
        <v>3</v>
      </c>
      <c r="CC23" s="1">
        <v>12</v>
      </c>
      <c r="CD23" s="1">
        <v>-12</v>
      </c>
      <c r="CE23" s="1">
        <v>-12</v>
      </c>
      <c r="CF23" s="1">
        <v>-12</v>
      </c>
      <c r="CG23" s="1">
        <v>-12</v>
      </c>
      <c r="CH23" s="1">
        <v>3</v>
      </c>
      <c r="CI23" s="1">
        <v>-12</v>
      </c>
      <c r="CJ23" s="1">
        <v>6</v>
      </c>
      <c r="CK23" s="1">
        <v>0</v>
      </c>
    </row>
    <row r="24" spans="2:90" x14ac:dyDescent="0.2">
      <c r="B24" t="s">
        <v>22</v>
      </c>
      <c r="C24" t="s">
        <v>25</v>
      </c>
      <c r="D24" s="12">
        <v>3550930</v>
      </c>
      <c r="E24">
        <v>22</v>
      </c>
      <c r="F24" s="5">
        <v>652397.94856299995</v>
      </c>
      <c r="G24" s="5">
        <f t="shared" si="0"/>
        <v>12260.537670871594</v>
      </c>
      <c r="H24" s="5">
        <v>1195902.247411968</v>
      </c>
      <c r="I24" s="5">
        <v>652397.94856299995</v>
      </c>
      <c r="J24" s="5">
        <v>1266906.4204259999</v>
      </c>
      <c r="K24" s="5">
        <v>1267917.2047939999</v>
      </c>
      <c r="L24" s="5">
        <v>2315086.4617940001</v>
      </c>
      <c r="M24" s="5">
        <v>653408.73293099995</v>
      </c>
      <c r="N24" s="5">
        <v>653408.73293099995</v>
      </c>
      <c r="O24" s="5">
        <v>965669.5736629999</v>
      </c>
      <c r="P24" s="4">
        <v>0</v>
      </c>
      <c r="R24">
        <v>0.43846767961694327</v>
      </c>
      <c r="S24">
        <v>0.17538707184677721</v>
      </c>
      <c r="T24">
        <v>0.43846767961694327</v>
      </c>
      <c r="U24">
        <v>0.43846767961694327</v>
      </c>
      <c r="V24">
        <v>0.43846767961694327</v>
      </c>
      <c r="W24">
        <v>0.43846767664764658</v>
      </c>
      <c r="X24">
        <v>0.55906795263367903</v>
      </c>
      <c r="Y24">
        <v>0.43846767664764658</v>
      </c>
      <c r="Z24">
        <v>0.43846767664764658</v>
      </c>
      <c r="AA24">
        <v>0</v>
      </c>
      <c r="AB24">
        <v>0</v>
      </c>
      <c r="AD24">
        <v>4.4220219948362879E-3</v>
      </c>
      <c r="AE24">
        <v>3.1823967426918352E-3</v>
      </c>
      <c r="AF24">
        <v>2.0660420869074211E-3</v>
      </c>
      <c r="AG24">
        <v>5.6000119488007214E-3</v>
      </c>
      <c r="AH24">
        <v>5.6000119488007214E-3</v>
      </c>
      <c r="AI24">
        <v>6.7780018887739482E-3</v>
      </c>
      <c r="AJ24">
        <v>1.088023540489479E-2</v>
      </c>
      <c r="AK24">
        <v>5.889949769822168E-3</v>
      </c>
      <c r="AL24">
        <v>9.1339817967028159E-3</v>
      </c>
      <c r="AM24">
        <v>5.889949769822168E-3</v>
      </c>
      <c r="AN24">
        <v>2.3559799079288669E-3</v>
      </c>
      <c r="AQ24">
        <v>0.1119755416347397</v>
      </c>
      <c r="AR24">
        <v>8.058544244593753E-2</v>
      </c>
      <c r="AS24">
        <v>5.2316831981336923E-2</v>
      </c>
      <c r="AT24">
        <v>0.14180489646144109</v>
      </c>
      <c r="AU24">
        <v>0.14180489646144109</v>
      </c>
      <c r="AV24">
        <v>0.1716342509338537</v>
      </c>
      <c r="AW24">
        <v>0.27551202911229983</v>
      </c>
      <c r="AX24">
        <v>0.14914677413350699</v>
      </c>
      <c r="AY24">
        <v>0.2312929605872564</v>
      </c>
      <c r="AZ24">
        <v>0.14914677413350699</v>
      </c>
      <c r="BA24">
        <v>5.9658709653402787E-2</v>
      </c>
      <c r="BC24" s="1">
        <v>2</v>
      </c>
      <c r="BD24" s="1">
        <v>6</v>
      </c>
      <c r="BE24" s="1">
        <v>6</v>
      </c>
      <c r="BF24" s="1">
        <v>2</v>
      </c>
      <c r="BG24" s="1">
        <v>2</v>
      </c>
      <c r="BH24" s="1">
        <v>2</v>
      </c>
      <c r="BI24" s="1">
        <v>6</v>
      </c>
      <c r="BJ24" s="1">
        <v>2</v>
      </c>
      <c r="BK24" s="1">
        <v>2</v>
      </c>
      <c r="BL24" s="1">
        <v>4</v>
      </c>
      <c r="BM24" s="1">
        <v>0</v>
      </c>
      <c r="BO24" s="1">
        <v>3</v>
      </c>
      <c r="BP24" s="1">
        <v>3</v>
      </c>
      <c r="BQ24" s="1">
        <v>3</v>
      </c>
      <c r="BR24" s="1">
        <v>-6</v>
      </c>
      <c r="BS24" s="1">
        <v>-12</v>
      </c>
      <c r="BT24" s="1">
        <v>-12</v>
      </c>
      <c r="BU24" s="1">
        <v>-12</v>
      </c>
      <c r="BV24" s="1">
        <v>3</v>
      </c>
      <c r="BW24" s="1">
        <v>-9</v>
      </c>
      <c r="BX24" s="1">
        <v>6</v>
      </c>
      <c r="BY24" s="1">
        <v>0</v>
      </c>
      <c r="CA24" s="1">
        <v>9</v>
      </c>
      <c r="CB24" s="1">
        <v>3</v>
      </c>
      <c r="CC24" s="1">
        <v>12</v>
      </c>
      <c r="CD24" s="1">
        <v>-12</v>
      </c>
      <c r="CE24" s="1">
        <v>-12</v>
      </c>
      <c r="CF24" s="1">
        <v>-12</v>
      </c>
      <c r="CG24" s="1">
        <v>-12</v>
      </c>
      <c r="CH24" s="1">
        <v>3</v>
      </c>
      <c r="CI24" s="1">
        <v>-12</v>
      </c>
      <c r="CJ24" s="1">
        <v>6</v>
      </c>
      <c r="CK24" s="1">
        <v>0</v>
      </c>
    </row>
    <row r="25" spans="2:90" x14ac:dyDescent="0.2">
      <c r="B25">
        <v>1</v>
      </c>
      <c r="C25">
        <v>2</v>
      </c>
      <c r="D25">
        <v>3</v>
      </c>
      <c r="E25">
        <v>4</v>
      </c>
      <c r="F25" s="5"/>
      <c r="H25" s="5"/>
      <c r="I25" s="5"/>
      <c r="J25" s="5"/>
      <c r="K25" s="5"/>
      <c r="L25" s="5"/>
      <c r="M25" s="5"/>
      <c r="N25" s="5"/>
      <c r="O25" s="5"/>
      <c r="P25" s="5"/>
      <c r="AB25">
        <v>1</v>
      </c>
      <c r="AN25">
        <v>1</v>
      </c>
      <c r="BA25">
        <v>1</v>
      </c>
      <c r="BM25">
        <v>9</v>
      </c>
      <c r="BY25">
        <v>6</v>
      </c>
      <c r="CK25">
        <v>12</v>
      </c>
    </row>
    <row r="26" spans="2:90" x14ac:dyDescent="0.2">
      <c r="R26" t="s">
        <v>26</v>
      </c>
      <c r="BO26" s="1">
        <v>-4</v>
      </c>
      <c r="BP26">
        <v>2</v>
      </c>
    </row>
    <row r="27" spans="2:90" x14ac:dyDescent="0.2">
      <c r="D27">
        <f>SUM(D3:D24)</f>
        <v>39874401</v>
      </c>
      <c r="G27" s="5">
        <v>137677.05799999999</v>
      </c>
      <c r="BO27" s="1">
        <v>-4</v>
      </c>
      <c r="BP27">
        <v>2</v>
      </c>
    </row>
    <row r="28" spans="2:90" x14ac:dyDescent="0.2">
      <c r="G28" t="s">
        <v>27</v>
      </c>
      <c r="BD28" t="s">
        <v>4</v>
      </c>
      <c r="BE28" t="s">
        <v>5</v>
      </c>
      <c r="BF28" t="s">
        <v>6</v>
      </c>
      <c r="BI28" t="s">
        <v>4</v>
      </c>
      <c r="BJ28" t="s">
        <v>5</v>
      </c>
      <c r="BK28" t="s">
        <v>6</v>
      </c>
      <c r="BO28" s="1">
        <v>-4</v>
      </c>
      <c r="BP28">
        <v>2</v>
      </c>
    </row>
    <row r="29" spans="2:90" x14ac:dyDescent="0.2">
      <c r="AE29" t="s">
        <v>28</v>
      </c>
      <c r="AF29" t="s">
        <v>29</v>
      </c>
      <c r="BC29" t="s">
        <v>11</v>
      </c>
      <c r="BD29" t="s">
        <v>30</v>
      </c>
      <c r="BE29" t="s">
        <v>30</v>
      </c>
      <c r="BF29" t="s">
        <v>31</v>
      </c>
      <c r="BH29" t="s">
        <v>23</v>
      </c>
      <c r="BI29">
        <v>3</v>
      </c>
      <c r="BJ29">
        <v>1</v>
      </c>
      <c r="BK29">
        <v>1</v>
      </c>
      <c r="BO29" s="1">
        <v>-4</v>
      </c>
      <c r="BP29">
        <v>2</v>
      </c>
    </row>
    <row r="30" spans="2:90" x14ac:dyDescent="0.2">
      <c r="H30" t="s">
        <v>23</v>
      </c>
      <c r="I30" t="s">
        <v>25</v>
      </c>
      <c r="O30" t="s">
        <v>32</v>
      </c>
      <c r="P30" t="s">
        <v>33</v>
      </c>
      <c r="AD30" t="s">
        <v>11</v>
      </c>
      <c r="AE30" t="s">
        <v>31</v>
      </c>
      <c r="AF30">
        <v>3</v>
      </c>
      <c r="AJ30" t="s">
        <v>23</v>
      </c>
      <c r="AK30">
        <v>3</v>
      </c>
      <c r="AL30" t="s">
        <v>34</v>
      </c>
      <c r="AM30">
        <v>0</v>
      </c>
      <c r="AN30">
        <v>0</v>
      </c>
      <c r="BC30" t="s">
        <v>12</v>
      </c>
      <c r="BD30" t="s">
        <v>31</v>
      </c>
      <c r="BE30" t="s">
        <v>30</v>
      </c>
      <c r="BF30" t="s">
        <v>30</v>
      </c>
      <c r="BH30" t="s">
        <v>35</v>
      </c>
      <c r="BI30">
        <v>1</v>
      </c>
      <c r="BJ30">
        <v>2</v>
      </c>
      <c r="BK30">
        <v>2</v>
      </c>
      <c r="BL30" t="s">
        <v>34</v>
      </c>
      <c r="BM30">
        <v>9</v>
      </c>
      <c r="BN30">
        <v>0</v>
      </c>
      <c r="BO30" s="1">
        <v>-4</v>
      </c>
      <c r="BP30">
        <v>2</v>
      </c>
      <c r="BX30" t="s">
        <v>34</v>
      </c>
      <c r="BY30">
        <v>2</v>
      </c>
      <c r="BZ30">
        <v>-4</v>
      </c>
      <c r="CJ30" t="s">
        <v>34</v>
      </c>
      <c r="CK30">
        <v>4</v>
      </c>
      <c r="CL30">
        <v>-4</v>
      </c>
    </row>
    <row r="31" spans="2:90" x14ac:dyDescent="0.2">
      <c r="G31" t="s">
        <v>11</v>
      </c>
      <c r="H31" t="s">
        <v>36</v>
      </c>
      <c r="I31" t="s">
        <v>36</v>
      </c>
      <c r="K31" t="s">
        <v>36</v>
      </c>
      <c r="L31">
        <v>25</v>
      </c>
      <c r="N31" t="s">
        <v>11</v>
      </c>
      <c r="O31" t="s">
        <v>37</v>
      </c>
      <c r="P31">
        <v>1</v>
      </c>
      <c r="R31" t="s">
        <v>23</v>
      </c>
      <c r="S31">
        <v>2</v>
      </c>
      <c r="AD31" t="s">
        <v>12</v>
      </c>
      <c r="AE31" t="s">
        <v>30</v>
      </c>
      <c r="AF31">
        <v>1</v>
      </c>
      <c r="AJ31" t="s">
        <v>35</v>
      </c>
      <c r="AK31">
        <v>1</v>
      </c>
      <c r="AL31" t="s">
        <v>34</v>
      </c>
      <c r="AM31">
        <v>6.4789447468043852E-3</v>
      </c>
      <c r="AN31">
        <v>1.1779899539644341E-3</v>
      </c>
      <c r="BC31" t="s">
        <v>13</v>
      </c>
      <c r="BD31" t="s">
        <v>31</v>
      </c>
      <c r="BE31" t="s">
        <v>30</v>
      </c>
      <c r="BF31" t="s">
        <v>38</v>
      </c>
      <c r="BH31" t="s">
        <v>25</v>
      </c>
      <c r="BI31">
        <v>2</v>
      </c>
      <c r="BJ31">
        <v>3</v>
      </c>
      <c r="BK31">
        <v>3</v>
      </c>
      <c r="BL31" t="s">
        <v>34</v>
      </c>
      <c r="BM31">
        <v>9</v>
      </c>
      <c r="BN31">
        <v>0</v>
      </c>
      <c r="BO31" s="1">
        <v>-4</v>
      </c>
      <c r="BP31">
        <v>2</v>
      </c>
      <c r="BX31" t="s">
        <v>34</v>
      </c>
      <c r="BY31">
        <v>2</v>
      </c>
      <c r="BZ31">
        <v>-4</v>
      </c>
      <c r="CJ31" t="s">
        <v>34</v>
      </c>
      <c r="CK31">
        <v>4</v>
      </c>
      <c r="CL31">
        <v>-4</v>
      </c>
    </row>
    <row r="32" spans="2:90" x14ac:dyDescent="0.2">
      <c r="G32" t="s">
        <v>12</v>
      </c>
      <c r="H32" t="s">
        <v>39</v>
      </c>
      <c r="I32" t="s">
        <v>39</v>
      </c>
      <c r="K32" t="s">
        <v>39</v>
      </c>
      <c r="L32">
        <v>55</v>
      </c>
      <c r="N32" t="s">
        <v>12</v>
      </c>
      <c r="O32" t="s">
        <v>40</v>
      </c>
      <c r="P32">
        <v>3</v>
      </c>
      <c r="R32" t="s">
        <v>35</v>
      </c>
      <c r="S32">
        <v>1</v>
      </c>
      <c r="AD32" t="s">
        <v>13</v>
      </c>
      <c r="AE32" s="2" t="s">
        <v>41</v>
      </c>
      <c r="AF32">
        <v>-2</v>
      </c>
      <c r="AJ32" t="s">
        <v>25</v>
      </c>
      <c r="AK32">
        <v>2</v>
      </c>
      <c r="AL32" t="s">
        <v>34</v>
      </c>
      <c r="AM32">
        <v>1.6478178839211498E-2</v>
      </c>
      <c r="AN32">
        <v>3.4905245960483462E-3</v>
      </c>
      <c r="BC32" t="s">
        <v>14</v>
      </c>
      <c r="BD32" t="s">
        <v>30</v>
      </c>
      <c r="BE32" s="2" t="s">
        <v>42</v>
      </c>
      <c r="BF32" s="2" t="s">
        <v>43</v>
      </c>
      <c r="BL32" t="s">
        <v>34</v>
      </c>
      <c r="BM32">
        <v>9</v>
      </c>
      <c r="BN32">
        <v>0</v>
      </c>
      <c r="BO32" s="1">
        <v>-4</v>
      </c>
      <c r="BP32">
        <v>2</v>
      </c>
      <c r="BX32" t="s">
        <v>34</v>
      </c>
      <c r="BY32">
        <v>2</v>
      </c>
      <c r="BZ32">
        <v>-4</v>
      </c>
      <c r="CJ32" t="s">
        <v>34</v>
      </c>
      <c r="CK32">
        <v>4</v>
      </c>
      <c r="CL32">
        <v>-4</v>
      </c>
    </row>
    <row r="33" spans="1:90" x14ac:dyDescent="0.2">
      <c r="G33" t="s">
        <v>13</v>
      </c>
      <c r="H33" t="s">
        <v>39</v>
      </c>
      <c r="I33" t="s">
        <v>39</v>
      </c>
      <c r="K33" t="s">
        <v>44</v>
      </c>
      <c r="L33">
        <v>70</v>
      </c>
      <c r="N33" t="s">
        <v>13</v>
      </c>
      <c r="O33" t="s">
        <v>40</v>
      </c>
      <c r="P33">
        <v>3</v>
      </c>
      <c r="R33" t="s">
        <v>25</v>
      </c>
      <c r="S33">
        <v>0</v>
      </c>
      <c r="AD33" t="s">
        <v>14</v>
      </c>
      <c r="AE33" t="s">
        <v>30</v>
      </c>
      <c r="AF33">
        <v>1</v>
      </c>
      <c r="AH33" t="s">
        <v>45</v>
      </c>
      <c r="AI33" t="s">
        <v>29</v>
      </c>
      <c r="AL33" t="s">
        <v>34</v>
      </c>
      <c r="AM33">
        <v>1.356271267901279E-2</v>
      </c>
      <c r="AN33">
        <v>2.077317451009844E-3</v>
      </c>
      <c r="BC33" t="s">
        <v>15</v>
      </c>
      <c r="BD33" t="s">
        <v>30</v>
      </c>
      <c r="BE33" s="2" t="s">
        <v>43</v>
      </c>
      <c r="BF33" s="2" t="s">
        <v>43</v>
      </c>
      <c r="BI33" s="2" t="s">
        <v>43</v>
      </c>
      <c r="BJ33">
        <v>-4</v>
      </c>
      <c r="BL33" t="s">
        <v>34</v>
      </c>
      <c r="BM33">
        <v>9</v>
      </c>
      <c r="BN33">
        <v>0</v>
      </c>
      <c r="BO33" s="1">
        <v>-4</v>
      </c>
      <c r="BP33">
        <v>2</v>
      </c>
      <c r="BX33" t="s">
        <v>34</v>
      </c>
      <c r="BY33">
        <v>2</v>
      </c>
      <c r="BZ33">
        <v>-4</v>
      </c>
      <c r="CJ33" t="s">
        <v>34</v>
      </c>
      <c r="CK33">
        <v>4</v>
      </c>
      <c r="CL33">
        <v>-4</v>
      </c>
    </row>
    <row r="34" spans="1:90" x14ac:dyDescent="0.2">
      <c r="G34" t="s">
        <v>14</v>
      </c>
      <c r="H34" t="s">
        <v>39</v>
      </c>
      <c r="I34" t="s">
        <v>39</v>
      </c>
      <c r="K34" t="s">
        <v>46</v>
      </c>
      <c r="L34">
        <v>85</v>
      </c>
      <c r="N34" t="s">
        <v>14</v>
      </c>
      <c r="O34" t="s">
        <v>40</v>
      </c>
      <c r="P34">
        <v>3</v>
      </c>
      <c r="AD34" t="s">
        <v>15</v>
      </c>
      <c r="AE34" t="s">
        <v>30</v>
      </c>
      <c r="AF34">
        <v>1</v>
      </c>
      <c r="AH34" s="2" t="s">
        <v>41</v>
      </c>
      <c r="AI34">
        <v>-2</v>
      </c>
      <c r="AL34" t="s">
        <v>34</v>
      </c>
      <c r="AM34">
        <v>0.10533650501368549</v>
      </c>
      <c r="AN34">
        <v>1.834154218371763E-2</v>
      </c>
      <c r="BC34" t="s">
        <v>16</v>
      </c>
      <c r="BD34" t="s">
        <v>30</v>
      </c>
      <c r="BE34" s="2" t="s">
        <v>43</v>
      </c>
      <c r="BF34" s="2" t="s">
        <v>43</v>
      </c>
      <c r="BI34" s="2" t="s">
        <v>41</v>
      </c>
      <c r="BJ34">
        <v>-3</v>
      </c>
      <c r="BL34" t="s">
        <v>34</v>
      </c>
      <c r="BM34">
        <v>9</v>
      </c>
      <c r="BN34">
        <v>0</v>
      </c>
      <c r="BO34" s="1">
        <v>-4</v>
      </c>
      <c r="BP34">
        <v>2</v>
      </c>
      <c r="BX34" t="s">
        <v>34</v>
      </c>
      <c r="BY34">
        <v>2</v>
      </c>
      <c r="BZ34">
        <v>-4</v>
      </c>
      <c r="CJ34" t="s">
        <v>34</v>
      </c>
      <c r="CK34">
        <v>4</v>
      </c>
      <c r="CL34">
        <v>-4</v>
      </c>
    </row>
    <row r="35" spans="1:90" x14ac:dyDescent="0.2">
      <c r="G35" t="s">
        <v>15</v>
      </c>
      <c r="H35" t="s">
        <v>46</v>
      </c>
      <c r="I35" t="s">
        <v>46</v>
      </c>
      <c r="K35" t="s">
        <v>47</v>
      </c>
      <c r="L35">
        <v>115</v>
      </c>
      <c r="N35" t="s">
        <v>15</v>
      </c>
      <c r="O35" t="s">
        <v>40</v>
      </c>
      <c r="P35">
        <v>3</v>
      </c>
      <c r="AD35" t="s">
        <v>16</v>
      </c>
      <c r="AE35" t="s">
        <v>48</v>
      </c>
      <c r="AF35">
        <v>4</v>
      </c>
      <c r="AH35" t="s">
        <v>49</v>
      </c>
      <c r="AI35">
        <v>0</v>
      </c>
      <c r="AL35" t="s">
        <v>34</v>
      </c>
      <c r="AM35">
        <v>1.226950881767846E-2</v>
      </c>
      <c r="AN35">
        <v>2.3559799079288669E-3</v>
      </c>
      <c r="BC35" t="s">
        <v>17</v>
      </c>
      <c r="BD35" t="s">
        <v>31</v>
      </c>
      <c r="BE35" s="2" t="s">
        <v>43</v>
      </c>
      <c r="BF35" s="2" t="s">
        <v>43</v>
      </c>
      <c r="BI35" s="2" t="s">
        <v>42</v>
      </c>
      <c r="BJ35">
        <v>-2</v>
      </c>
      <c r="BL35" t="s">
        <v>34</v>
      </c>
      <c r="BM35">
        <v>9</v>
      </c>
      <c r="BN35">
        <v>0</v>
      </c>
      <c r="BO35" s="1">
        <v>-4</v>
      </c>
      <c r="BP35">
        <v>2</v>
      </c>
      <c r="BX35" t="s">
        <v>34</v>
      </c>
      <c r="BY35">
        <v>2</v>
      </c>
      <c r="BZ35">
        <v>-4</v>
      </c>
      <c r="CJ35" t="s">
        <v>34</v>
      </c>
      <c r="CK35">
        <v>4</v>
      </c>
      <c r="CL35">
        <v>-4</v>
      </c>
    </row>
    <row r="36" spans="1:90" x14ac:dyDescent="0.2">
      <c r="G36" t="s">
        <v>16</v>
      </c>
      <c r="H36" t="s">
        <v>47</v>
      </c>
      <c r="I36" t="s">
        <v>46</v>
      </c>
      <c r="K36" t="s">
        <v>50</v>
      </c>
      <c r="L36">
        <v>145</v>
      </c>
      <c r="N36" t="s">
        <v>16</v>
      </c>
      <c r="O36" t="s">
        <v>40</v>
      </c>
      <c r="P36">
        <v>3</v>
      </c>
      <c r="AD36" t="s">
        <v>17</v>
      </c>
      <c r="AE36" t="s">
        <v>38</v>
      </c>
      <c r="AF36">
        <v>5</v>
      </c>
      <c r="AH36" t="s">
        <v>30</v>
      </c>
      <c r="AI36">
        <v>1</v>
      </c>
      <c r="AL36" t="s">
        <v>34</v>
      </c>
      <c r="AM36">
        <v>5.8799051133429127E-2</v>
      </c>
      <c r="AN36">
        <v>1.0994572903668049E-2</v>
      </c>
      <c r="BC36" t="s">
        <v>18</v>
      </c>
      <c r="BD36" t="s">
        <v>30</v>
      </c>
      <c r="BE36" t="s">
        <v>30</v>
      </c>
      <c r="BF36" t="s">
        <v>30</v>
      </c>
      <c r="BI36" t="s">
        <v>49</v>
      </c>
      <c r="BJ36">
        <v>0</v>
      </c>
      <c r="BL36" t="s">
        <v>34</v>
      </c>
      <c r="BM36">
        <v>9</v>
      </c>
      <c r="BN36">
        <v>0</v>
      </c>
      <c r="BO36" s="1">
        <v>-8</v>
      </c>
      <c r="BP36">
        <v>4</v>
      </c>
      <c r="BX36" t="s">
        <v>34</v>
      </c>
      <c r="BY36">
        <v>2</v>
      </c>
      <c r="BZ36">
        <v>-4</v>
      </c>
      <c r="CJ36" t="s">
        <v>34</v>
      </c>
      <c r="CK36">
        <v>4</v>
      </c>
      <c r="CL36">
        <v>-4</v>
      </c>
    </row>
    <row r="37" spans="1:90" x14ac:dyDescent="0.2">
      <c r="G37" t="s">
        <v>17</v>
      </c>
      <c r="H37" t="s">
        <v>50</v>
      </c>
      <c r="I37" t="s">
        <v>47</v>
      </c>
      <c r="N37" t="s">
        <v>17</v>
      </c>
      <c r="O37" t="s">
        <v>40</v>
      </c>
      <c r="P37">
        <v>3</v>
      </c>
      <c r="AD37" t="s">
        <v>18</v>
      </c>
      <c r="AE37" t="s">
        <v>51</v>
      </c>
      <c r="AF37">
        <v>2</v>
      </c>
      <c r="AH37" t="s">
        <v>51</v>
      </c>
      <c r="AI37">
        <v>2</v>
      </c>
      <c r="AL37" t="s">
        <v>34</v>
      </c>
      <c r="AM37">
        <v>0.42201393992688419</v>
      </c>
      <c r="AN37">
        <v>8.4815276685439228E-2</v>
      </c>
      <c r="BC37" t="s">
        <v>19</v>
      </c>
      <c r="BD37" t="s">
        <v>30</v>
      </c>
      <c r="BE37" s="2" t="s">
        <v>41</v>
      </c>
      <c r="BF37" s="2" t="s">
        <v>43</v>
      </c>
      <c r="BI37" t="s">
        <v>30</v>
      </c>
      <c r="BJ37">
        <v>1</v>
      </c>
      <c r="BL37" t="s">
        <v>34</v>
      </c>
      <c r="BM37">
        <v>9</v>
      </c>
      <c r="BN37">
        <v>0</v>
      </c>
      <c r="BO37" s="1">
        <v>-8</v>
      </c>
      <c r="BP37">
        <v>4</v>
      </c>
      <c r="BX37" t="s">
        <v>34</v>
      </c>
      <c r="BY37">
        <v>2</v>
      </c>
      <c r="BZ37">
        <v>-4</v>
      </c>
      <c r="CJ37" t="s">
        <v>34</v>
      </c>
      <c r="CK37">
        <v>4</v>
      </c>
      <c r="CL37">
        <v>-4</v>
      </c>
    </row>
    <row r="38" spans="1:90" x14ac:dyDescent="0.2">
      <c r="G38" t="s">
        <v>18</v>
      </c>
      <c r="H38" t="s">
        <v>36</v>
      </c>
      <c r="I38" t="s">
        <v>36</v>
      </c>
      <c r="N38" t="s">
        <v>18</v>
      </c>
      <c r="O38" t="s">
        <v>31</v>
      </c>
      <c r="P38">
        <v>2</v>
      </c>
      <c r="AD38" t="s">
        <v>19</v>
      </c>
      <c r="AE38" t="s">
        <v>31</v>
      </c>
      <c r="AF38">
        <v>3</v>
      </c>
      <c r="AH38" t="s">
        <v>31</v>
      </c>
      <c r="AI38">
        <v>3</v>
      </c>
      <c r="AL38" t="s">
        <v>34</v>
      </c>
      <c r="AM38">
        <v>1</v>
      </c>
      <c r="AN38">
        <v>0.15089199968974379</v>
      </c>
      <c r="BC38" t="s">
        <v>20</v>
      </c>
      <c r="BD38" t="s">
        <v>52</v>
      </c>
      <c r="BE38" t="s">
        <v>52</v>
      </c>
      <c r="BF38" t="s">
        <v>52</v>
      </c>
      <c r="BI38" t="s">
        <v>52</v>
      </c>
      <c r="BJ38">
        <v>2</v>
      </c>
      <c r="BL38" t="s">
        <v>34</v>
      </c>
      <c r="BM38">
        <v>9</v>
      </c>
      <c r="BN38">
        <v>0</v>
      </c>
      <c r="BO38" s="1">
        <v>-56</v>
      </c>
      <c r="BP38" s="1">
        <v>28</v>
      </c>
      <c r="BX38" t="s">
        <v>34</v>
      </c>
      <c r="BY38">
        <v>2</v>
      </c>
      <c r="BZ38">
        <v>-4</v>
      </c>
      <c r="CJ38" t="s">
        <v>34</v>
      </c>
      <c r="CK38">
        <v>4</v>
      </c>
      <c r="CL38">
        <v>-4</v>
      </c>
    </row>
    <row r="39" spans="1:90" x14ac:dyDescent="0.2">
      <c r="G39" t="s">
        <v>19</v>
      </c>
      <c r="H39" t="s">
        <v>46</v>
      </c>
      <c r="I39" t="s">
        <v>44</v>
      </c>
      <c r="N39" t="s">
        <v>19</v>
      </c>
      <c r="O39" t="s">
        <v>40</v>
      </c>
      <c r="P39">
        <v>3</v>
      </c>
      <c r="AD39" t="s">
        <v>20</v>
      </c>
      <c r="AE39" t="s">
        <v>38</v>
      </c>
      <c r="AF39">
        <v>5</v>
      </c>
      <c r="AH39" t="s">
        <v>48</v>
      </c>
      <c r="AI39">
        <v>4</v>
      </c>
      <c r="AL39" t="s">
        <v>34</v>
      </c>
      <c r="AM39">
        <v>3.288857587370902E-3</v>
      </c>
      <c r="AN39">
        <v>4.1436873239189412E-4</v>
      </c>
      <c r="BC39" t="s">
        <v>21</v>
      </c>
      <c r="BD39" t="s">
        <v>49</v>
      </c>
      <c r="BE39" t="s">
        <v>49</v>
      </c>
      <c r="BF39" t="s">
        <v>49</v>
      </c>
      <c r="BI39" t="s">
        <v>31</v>
      </c>
      <c r="BJ39">
        <v>3</v>
      </c>
      <c r="BL39" t="s">
        <v>34</v>
      </c>
      <c r="BM39">
        <v>9</v>
      </c>
      <c r="BN39">
        <v>0</v>
      </c>
      <c r="BX39" t="s">
        <v>34</v>
      </c>
      <c r="BY39">
        <v>2</v>
      </c>
      <c r="BZ39">
        <v>-4</v>
      </c>
      <c r="CJ39" t="s">
        <v>34</v>
      </c>
      <c r="CK39">
        <v>4</v>
      </c>
      <c r="CL39">
        <v>-4</v>
      </c>
    </row>
    <row r="40" spans="1:90" x14ac:dyDescent="0.2">
      <c r="G40" t="s">
        <v>20</v>
      </c>
      <c r="H40" t="s">
        <v>53</v>
      </c>
      <c r="I40" t="s">
        <v>44</v>
      </c>
      <c r="N40" t="s">
        <v>20</v>
      </c>
      <c r="O40" t="s">
        <v>37</v>
      </c>
      <c r="P40">
        <v>1</v>
      </c>
      <c r="AD40" t="s">
        <v>21</v>
      </c>
      <c r="AE40" t="s">
        <v>49</v>
      </c>
      <c r="AF40">
        <v>0</v>
      </c>
      <c r="AH40" t="s">
        <v>38</v>
      </c>
      <c r="AI40">
        <v>5</v>
      </c>
      <c r="AL40" t="s">
        <v>34</v>
      </c>
      <c r="AM40">
        <v>5.9852792864957616E-3</v>
      </c>
      <c r="AN40">
        <v>4.7743579196253338E-4</v>
      </c>
      <c r="BI40" t="s">
        <v>38</v>
      </c>
      <c r="BJ40">
        <v>4</v>
      </c>
      <c r="BL40" t="s">
        <v>34</v>
      </c>
      <c r="BM40">
        <v>3</v>
      </c>
      <c r="BN40">
        <v>0</v>
      </c>
      <c r="BX40" t="s">
        <v>34</v>
      </c>
      <c r="BY40">
        <v>4</v>
      </c>
      <c r="BZ40">
        <v>-8</v>
      </c>
      <c r="CJ40" t="s">
        <v>34</v>
      </c>
      <c r="CK40">
        <v>8</v>
      </c>
      <c r="CL40">
        <v>-8</v>
      </c>
    </row>
    <row r="41" spans="1:90" x14ac:dyDescent="0.2">
      <c r="N41" t="s">
        <v>21</v>
      </c>
      <c r="O41" t="s">
        <v>54</v>
      </c>
      <c r="P41">
        <v>0</v>
      </c>
      <c r="AL41" t="s">
        <v>34</v>
      </c>
      <c r="AM41">
        <v>8.1080347742718568E-3</v>
      </c>
      <c r="AN41">
        <v>1.0621466161426069E-3</v>
      </c>
      <c r="BL41" t="s">
        <v>34</v>
      </c>
      <c r="BM41">
        <v>3</v>
      </c>
      <c r="BN41">
        <v>0</v>
      </c>
      <c r="BX41" t="s">
        <v>34</v>
      </c>
      <c r="BY41">
        <v>4</v>
      </c>
      <c r="BZ41">
        <v>-8</v>
      </c>
      <c r="CJ41" t="s">
        <v>34</v>
      </c>
      <c r="CK41">
        <v>8</v>
      </c>
      <c r="CL41">
        <v>-8</v>
      </c>
    </row>
    <row r="42" spans="1:90" x14ac:dyDescent="0.2">
      <c r="AD42" t="s">
        <v>55</v>
      </c>
      <c r="AN42">
        <v>0.27609915451201722</v>
      </c>
      <c r="BN42">
        <v>0</v>
      </c>
      <c r="BZ42">
        <v>-56</v>
      </c>
      <c r="CL42">
        <v>-56</v>
      </c>
    </row>
    <row r="43" spans="1:90" x14ac:dyDescent="0.2">
      <c r="B43" t="s">
        <v>56</v>
      </c>
      <c r="AN43">
        <v>1.6523210128048449</v>
      </c>
      <c r="BN43">
        <v>96</v>
      </c>
      <c r="BZ43">
        <v>28</v>
      </c>
      <c r="CL43">
        <v>56</v>
      </c>
    </row>
    <row r="44" spans="1:90" x14ac:dyDescent="0.2">
      <c r="B44" t="s">
        <v>57</v>
      </c>
      <c r="C44" t="s">
        <v>58</v>
      </c>
      <c r="D44" t="s">
        <v>59</v>
      </c>
      <c r="E44" t="s">
        <v>60</v>
      </c>
      <c r="F44" t="s">
        <v>61</v>
      </c>
      <c r="G44" t="s">
        <v>62</v>
      </c>
    </row>
    <row r="45" spans="1:90" x14ac:dyDescent="0.2">
      <c r="A45">
        <v>2</v>
      </c>
      <c r="B45">
        <v>1</v>
      </c>
      <c r="C45">
        <v>2</v>
      </c>
      <c r="D45">
        <v>1090.92</v>
      </c>
      <c r="E45">
        <v>80728.08</v>
      </c>
      <c r="F45">
        <v>63142.449600000007</v>
      </c>
      <c r="G45">
        <v>143870.52960000001</v>
      </c>
    </row>
    <row r="46" spans="1:90" x14ac:dyDescent="0.2">
      <c r="A46">
        <v>3</v>
      </c>
      <c r="B46">
        <v>1</v>
      </c>
      <c r="C46">
        <v>3</v>
      </c>
      <c r="D46">
        <v>1295.3800000000001</v>
      </c>
      <c r="E46">
        <v>95858.12000000001</v>
      </c>
      <c r="F46">
        <v>74976.594400000016</v>
      </c>
      <c r="G46">
        <v>170834.7144</v>
      </c>
    </row>
    <row r="47" spans="1:90" x14ac:dyDescent="0.2">
      <c r="A47">
        <v>4</v>
      </c>
      <c r="B47">
        <v>1</v>
      </c>
      <c r="C47">
        <v>4</v>
      </c>
      <c r="D47">
        <v>667.70600000000002</v>
      </c>
      <c r="E47">
        <v>49410.243999999999</v>
      </c>
      <c r="F47">
        <v>38646.823279999997</v>
      </c>
      <c r="G47">
        <v>88057.067280000003</v>
      </c>
    </row>
    <row r="48" spans="1:90" x14ac:dyDescent="0.2">
      <c r="A48">
        <v>25</v>
      </c>
      <c r="B48">
        <v>2</v>
      </c>
      <c r="C48">
        <v>3</v>
      </c>
      <c r="D48">
        <v>539.1</v>
      </c>
      <c r="E48">
        <v>39893.4</v>
      </c>
      <c r="F48">
        <v>31203.108</v>
      </c>
      <c r="G48">
        <v>71096.508000000002</v>
      </c>
    </row>
    <row r="49" spans="1:7" x14ac:dyDescent="0.2">
      <c r="A49">
        <v>28</v>
      </c>
      <c r="B49">
        <v>2</v>
      </c>
      <c r="C49">
        <v>6</v>
      </c>
      <c r="D49">
        <v>62.137700000000002</v>
      </c>
      <c r="E49">
        <v>4598.1898000000001</v>
      </c>
      <c r="F49">
        <v>3596.530076</v>
      </c>
      <c r="G49">
        <v>8194.719876000001</v>
      </c>
    </row>
    <row r="50" spans="1:7" x14ac:dyDescent="0.2">
      <c r="A50">
        <v>29</v>
      </c>
      <c r="B50">
        <v>2</v>
      </c>
      <c r="C50">
        <v>7</v>
      </c>
      <c r="D50">
        <v>1116.76</v>
      </c>
      <c r="E50">
        <v>82640.240000000005</v>
      </c>
      <c r="F50">
        <v>64638.068800000001</v>
      </c>
      <c r="G50">
        <v>147278.3088</v>
      </c>
    </row>
    <row r="51" spans="1:7" x14ac:dyDescent="0.2">
      <c r="A51">
        <v>30</v>
      </c>
      <c r="B51">
        <v>2</v>
      </c>
      <c r="C51">
        <v>8</v>
      </c>
      <c r="D51">
        <v>660.17</v>
      </c>
      <c r="E51">
        <v>48852.579999999987</v>
      </c>
      <c r="F51">
        <v>38210.639600000002</v>
      </c>
      <c r="G51">
        <v>87063.219599999997</v>
      </c>
    </row>
    <row r="52" spans="1:7" x14ac:dyDescent="0.2">
      <c r="A52">
        <v>48</v>
      </c>
      <c r="B52">
        <v>3</v>
      </c>
      <c r="C52">
        <v>4</v>
      </c>
      <c r="D52">
        <v>580.41099999999994</v>
      </c>
      <c r="E52">
        <v>42950.413999999997</v>
      </c>
      <c r="F52">
        <v>33594.188679999999</v>
      </c>
      <c r="G52">
        <v>76544.602679999996</v>
      </c>
    </row>
    <row r="53" spans="1:7" x14ac:dyDescent="0.2">
      <c r="A53">
        <v>52</v>
      </c>
      <c r="B53">
        <v>3</v>
      </c>
      <c r="C53">
        <v>8</v>
      </c>
      <c r="D53">
        <v>446.48200000000003</v>
      </c>
      <c r="E53">
        <v>33039.668000000012</v>
      </c>
      <c r="F53">
        <v>25842.37816</v>
      </c>
      <c r="G53">
        <v>58882.046160000013</v>
      </c>
    </row>
    <row r="54" spans="1:7" x14ac:dyDescent="0.2">
      <c r="A54">
        <v>53</v>
      </c>
      <c r="B54">
        <v>3</v>
      </c>
      <c r="C54">
        <v>9</v>
      </c>
      <c r="D54">
        <v>654.13099999999997</v>
      </c>
      <c r="E54">
        <v>48405.694000000003</v>
      </c>
      <c r="F54">
        <v>37861.102279999999</v>
      </c>
      <c r="G54">
        <v>86266.796279999995</v>
      </c>
    </row>
    <row r="55" spans="1:7" x14ac:dyDescent="0.2">
      <c r="A55">
        <v>54</v>
      </c>
      <c r="B55">
        <v>3</v>
      </c>
      <c r="C55">
        <v>10</v>
      </c>
      <c r="D55">
        <v>474.13799999999998</v>
      </c>
      <c r="E55">
        <v>35086.212</v>
      </c>
      <c r="F55">
        <v>27443.10744</v>
      </c>
      <c r="G55">
        <v>62529.319439999999</v>
      </c>
    </row>
    <row r="56" spans="1:7" x14ac:dyDescent="0.2">
      <c r="A56">
        <v>76</v>
      </c>
      <c r="B56">
        <v>4</v>
      </c>
      <c r="C56">
        <v>10</v>
      </c>
      <c r="D56">
        <v>637.221</v>
      </c>
      <c r="E56">
        <v>47154.353999999999</v>
      </c>
      <c r="F56">
        <v>36882.351479999998</v>
      </c>
      <c r="G56">
        <v>84036.705480000004</v>
      </c>
    </row>
    <row r="57" spans="1:7" x14ac:dyDescent="0.2">
      <c r="A57">
        <v>99</v>
      </c>
      <c r="B57">
        <v>5</v>
      </c>
      <c r="C57">
        <v>11</v>
      </c>
      <c r="D57">
        <v>1090.8399999999999</v>
      </c>
      <c r="E57">
        <v>80722.159999999989</v>
      </c>
      <c r="F57">
        <v>63137.819199999998</v>
      </c>
      <c r="G57">
        <v>143859.9792</v>
      </c>
    </row>
    <row r="58" spans="1:7" x14ac:dyDescent="0.2">
      <c r="A58">
        <v>94</v>
      </c>
      <c r="B58">
        <v>5</v>
      </c>
      <c r="C58">
        <v>6</v>
      </c>
      <c r="D58">
        <v>2165.35</v>
      </c>
      <c r="E58">
        <v>160235.9</v>
      </c>
      <c r="F58">
        <v>125330.458</v>
      </c>
      <c r="G58">
        <v>285566.35800000001</v>
      </c>
    </row>
    <row r="59" spans="1:7" x14ac:dyDescent="0.2">
      <c r="A59">
        <v>117</v>
      </c>
      <c r="B59">
        <v>6</v>
      </c>
      <c r="C59">
        <v>7</v>
      </c>
      <c r="D59">
        <v>2363.92</v>
      </c>
      <c r="E59">
        <v>174930.08</v>
      </c>
      <c r="F59">
        <v>136823.68960000001</v>
      </c>
      <c r="G59">
        <v>311753.7696</v>
      </c>
    </row>
    <row r="60" spans="1:7" x14ac:dyDescent="0.2">
      <c r="A60">
        <v>122</v>
      </c>
      <c r="B60">
        <v>6</v>
      </c>
      <c r="C60">
        <v>12</v>
      </c>
      <c r="D60">
        <v>1243.25</v>
      </c>
      <c r="E60">
        <v>92000.5</v>
      </c>
      <c r="F60">
        <v>71959.31</v>
      </c>
      <c r="G60">
        <v>163959.81</v>
      </c>
    </row>
    <row r="61" spans="1:7" x14ac:dyDescent="0.2">
      <c r="A61">
        <v>140</v>
      </c>
      <c r="B61">
        <v>7</v>
      </c>
      <c r="C61">
        <v>8</v>
      </c>
      <c r="D61">
        <v>1653.49</v>
      </c>
      <c r="E61">
        <v>122358.26</v>
      </c>
      <c r="F61">
        <v>95704.001199999999</v>
      </c>
      <c r="G61">
        <v>218062.26120000001</v>
      </c>
    </row>
    <row r="62" spans="1:7" x14ac:dyDescent="0.2">
      <c r="A62">
        <v>144</v>
      </c>
      <c r="B62">
        <v>7</v>
      </c>
      <c r="C62">
        <v>12</v>
      </c>
      <c r="D62">
        <v>57.665700000000001</v>
      </c>
      <c r="E62">
        <v>4267.2618000000002</v>
      </c>
      <c r="F62">
        <v>3337.6907160000001</v>
      </c>
      <c r="G62">
        <v>7604.9525160000003</v>
      </c>
    </row>
    <row r="63" spans="1:7" x14ac:dyDescent="0.2">
      <c r="A63">
        <v>145</v>
      </c>
      <c r="B63">
        <v>7</v>
      </c>
      <c r="C63">
        <v>13</v>
      </c>
      <c r="D63">
        <v>1350.73</v>
      </c>
      <c r="E63">
        <v>99954.02</v>
      </c>
      <c r="F63">
        <v>78180.252399999998</v>
      </c>
      <c r="G63">
        <v>178134.27239999999</v>
      </c>
    </row>
    <row r="64" spans="1:7" x14ac:dyDescent="0.2">
      <c r="A64">
        <v>146</v>
      </c>
      <c r="B64">
        <v>7</v>
      </c>
      <c r="C64">
        <v>14</v>
      </c>
      <c r="D64">
        <v>205.26499999999999</v>
      </c>
      <c r="E64">
        <v>15189.61</v>
      </c>
      <c r="F64">
        <v>11880.7382</v>
      </c>
      <c r="G64">
        <v>27070.3482</v>
      </c>
    </row>
    <row r="65" spans="1:7" x14ac:dyDescent="0.2">
      <c r="A65">
        <v>163</v>
      </c>
      <c r="B65">
        <v>8</v>
      </c>
      <c r="C65">
        <v>9</v>
      </c>
      <c r="D65">
        <v>1593.54</v>
      </c>
      <c r="E65">
        <v>117921.96</v>
      </c>
      <c r="F65">
        <v>92234.095199999996</v>
      </c>
      <c r="G65">
        <v>210156.0552</v>
      </c>
    </row>
    <row r="66" spans="1:7" x14ac:dyDescent="0.2">
      <c r="A66">
        <v>168</v>
      </c>
      <c r="B66">
        <v>8</v>
      </c>
      <c r="C66">
        <v>14</v>
      </c>
      <c r="D66">
        <v>788.36500000000001</v>
      </c>
      <c r="E66">
        <v>58339.01</v>
      </c>
      <c r="F66">
        <v>45630.566200000001</v>
      </c>
      <c r="G66">
        <v>103969.5762</v>
      </c>
    </row>
    <row r="67" spans="1:7" x14ac:dyDescent="0.2">
      <c r="A67">
        <v>186</v>
      </c>
      <c r="B67">
        <v>9</v>
      </c>
      <c r="C67">
        <v>10</v>
      </c>
      <c r="D67">
        <v>2273.59</v>
      </c>
      <c r="E67">
        <v>168245.66</v>
      </c>
      <c r="F67">
        <v>131595.38920000001</v>
      </c>
      <c r="G67">
        <v>299841.04920000001</v>
      </c>
    </row>
    <row r="68" spans="1:7" x14ac:dyDescent="0.2">
      <c r="A68">
        <v>190</v>
      </c>
      <c r="B68">
        <v>9</v>
      </c>
      <c r="C68">
        <v>14</v>
      </c>
      <c r="D68">
        <v>57.334000000000003</v>
      </c>
      <c r="E68">
        <v>4242.7160000000003</v>
      </c>
      <c r="F68">
        <v>3318.4919199999999</v>
      </c>
      <c r="G68">
        <v>7561.2079200000007</v>
      </c>
    </row>
    <row r="69" spans="1:7" x14ac:dyDescent="0.2">
      <c r="A69">
        <v>191</v>
      </c>
      <c r="B69">
        <v>9</v>
      </c>
      <c r="C69">
        <v>15</v>
      </c>
      <c r="D69">
        <v>1503.34</v>
      </c>
      <c r="E69">
        <v>111247.16</v>
      </c>
      <c r="F69">
        <v>87013.319199999998</v>
      </c>
      <c r="G69">
        <v>198260.4792</v>
      </c>
    </row>
    <row r="70" spans="1:7" x14ac:dyDescent="0.2">
      <c r="A70">
        <v>213</v>
      </c>
      <c r="B70">
        <v>10</v>
      </c>
      <c r="C70">
        <v>15</v>
      </c>
      <c r="D70">
        <v>23.5566</v>
      </c>
      <c r="E70">
        <v>1743.1884</v>
      </c>
      <c r="F70">
        <v>1363.4560080000001</v>
      </c>
      <c r="G70">
        <v>3106.6444080000001</v>
      </c>
    </row>
    <row r="71" spans="1:7" x14ac:dyDescent="0.2">
      <c r="A71">
        <v>232</v>
      </c>
      <c r="B71">
        <v>11</v>
      </c>
      <c r="C71">
        <v>12</v>
      </c>
      <c r="D71">
        <v>1451.96</v>
      </c>
      <c r="E71">
        <v>107445.04</v>
      </c>
      <c r="F71">
        <v>84039.444800000012</v>
      </c>
      <c r="G71">
        <v>191484.48480000001</v>
      </c>
    </row>
    <row r="72" spans="1:7" x14ac:dyDescent="0.2">
      <c r="A72">
        <v>236</v>
      </c>
      <c r="B72">
        <v>11</v>
      </c>
      <c r="C72">
        <v>16</v>
      </c>
      <c r="D72">
        <v>1406.89</v>
      </c>
      <c r="E72">
        <v>104109.86</v>
      </c>
      <c r="F72">
        <v>12225.874100000001</v>
      </c>
      <c r="G72">
        <v>116335.7341</v>
      </c>
    </row>
    <row r="73" spans="1:7" x14ac:dyDescent="0.2">
      <c r="A73">
        <v>255</v>
      </c>
      <c r="B73">
        <v>12</v>
      </c>
      <c r="C73">
        <v>13</v>
      </c>
      <c r="D73">
        <v>1447.72</v>
      </c>
      <c r="E73">
        <v>107131.28</v>
      </c>
      <c r="F73">
        <v>83794.03360000001</v>
      </c>
      <c r="G73">
        <v>190925.31359999999</v>
      </c>
    </row>
    <row r="74" spans="1:7" x14ac:dyDescent="0.2">
      <c r="A74">
        <v>258</v>
      </c>
      <c r="B74">
        <v>12</v>
      </c>
      <c r="C74">
        <v>16</v>
      </c>
      <c r="D74">
        <v>1424.04</v>
      </c>
      <c r="E74">
        <v>105378.96</v>
      </c>
      <c r="F74">
        <v>12374.9076</v>
      </c>
      <c r="G74">
        <v>117753.8676</v>
      </c>
    </row>
    <row r="75" spans="1:7" x14ac:dyDescent="0.2">
      <c r="A75">
        <v>259</v>
      </c>
      <c r="B75">
        <v>12</v>
      </c>
      <c r="C75">
        <v>17</v>
      </c>
      <c r="D75">
        <v>426.774</v>
      </c>
      <c r="E75">
        <v>31581.276000000002</v>
      </c>
      <c r="F75">
        <v>3708.66606</v>
      </c>
      <c r="G75">
        <v>35289.942060000001</v>
      </c>
    </row>
    <row r="76" spans="1:7" x14ac:dyDescent="0.2">
      <c r="A76">
        <v>278</v>
      </c>
      <c r="B76">
        <v>13</v>
      </c>
      <c r="C76">
        <v>14</v>
      </c>
      <c r="D76">
        <v>1555.17</v>
      </c>
      <c r="E76">
        <v>115082.58</v>
      </c>
      <c r="F76">
        <v>90013.239600000015</v>
      </c>
      <c r="G76">
        <v>205095.81959999999</v>
      </c>
    </row>
    <row r="77" spans="1:7" x14ac:dyDescent="0.2">
      <c r="A77">
        <v>281</v>
      </c>
      <c r="B77">
        <v>13</v>
      </c>
      <c r="C77">
        <v>17</v>
      </c>
      <c r="D77">
        <v>1175.8800000000001</v>
      </c>
      <c r="E77">
        <v>87015.12000000001</v>
      </c>
      <c r="F77">
        <v>10218.397199999999</v>
      </c>
      <c r="G77">
        <v>97233.517200000017</v>
      </c>
    </row>
    <row r="78" spans="1:7" x14ac:dyDescent="0.2">
      <c r="A78">
        <v>301</v>
      </c>
      <c r="B78">
        <v>14</v>
      </c>
      <c r="C78">
        <v>15</v>
      </c>
      <c r="D78">
        <v>755.29600000000005</v>
      </c>
      <c r="E78">
        <v>55891.904000000002</v>
      </c>
      <c r="F78">
        <v>43716.532480000002</v>
      </c>
      <c r="G78">
        <v>99608.436480000004</v>
      </c>
    </row>
    <row r="79" spans="1:7" x14ac:dyDescent="0.2">
      <c r="A79">
        <v>304</v>
      </c>
      <c r="B79">
        <v>14</v>
      </c>
      <c r="C79">
        <v>18</v>
      </c>
      <c r="D79">
        <v>1302.4000000000001</v>
      </c>
      <c r="E79">
        <v>96377.600000000006</v>
      </c>
      <c r="F79">
        <v>11317.856</v>
      </c>
      <c r="G79">
        <v>107695.45600000001</v>
      </c>
    </row>
    <row r="80" spans="1:7" x14ac:dyDescent="0.2">
      <c r="A80">
        <v>305</v>
      </c>
      <c r="B80">
        <v>14</v>
      </c>
      <c r="C80">
        <v>19</v>
      </c>
      <c r="D80">
        <v>265.51600000000002</v>
      </c>
      <c r="E80">
        <v>19648.184000000001</v>
      </c>
      <c r="F80">
        <v>2307.3340400000011</v>
      </c>
      <c r="G80">
        <v>21955.518039999999</v>
      </c>
    </row>
    <row r="81" spans="1:7" x14ac:dyDescent="0.2">
      <c r="A81">
        <v>327</v>
      </c>
      <c r="B81">
        <v>15</v>
      </c>
      <c r="C81">
        <v>19</v>
      </c>
      <c r="D81">
        <v>1488.96</v>
      </c>
      <c r="E81">
        <v>110183.03999999999</v>
      </c>
      <c r="F81">
        <v>12939.062400000001</v>
      </c>
      <c r="G81">
        <v>123122.1024</v>
      </c>
    </row>
    <row r="82" spans="1:7" x14ac:dyDescent="0.2">
      <c r="A82">
        <v>347</v>
      </c>
      <c r="B82">
        <v>16</v>
      </c>
      <c r="C82">
        <v>17</v>
      </c>
      <c r="D82">
        <v>1353.96</v>
      </c>
      <c r="E82">
        <v>100193.04</v>
      </c>
      <c r="F82">
        <v>11765.912399999999</v>
      </c>
      <c r="G82">
        <v>111958.95239999999</v>
      </c>
    </row>
    <row r="83" spans="1:7" x14ac:dyDescent="0.2">
      <c r="A83">
        <v>370</v>
      </c>
      <c r="B83">
        <v>17</v>
      </c>
      <c r="C83">
        <v>18</v>
      </c>
      <c r="D83">
        <v>1404.46</v>
      </c>
      <c r="E83">
        <v>103930.04</v>
      </c>
      <c r="F83">
        <v>12204.7574</v>
      </c>
      <c r="G83">
        <v>116134.7974</v>
      </c>
    </row>
    <row r="84" spans="1:7" x14ac:dyDescent="0.2">
      <c r="A84">
        <v>393</v>
      </c>
      <c r="B84">
        <v>18</v>
      </c>
      <c r="C84">
        <v>19</v>
      </c>
      <c r="D84">
        <v>1694.46</v>
      </c>
      <c r="E84">
        <v>125390.04</v>
      </c>
      <c r="F84">
        <v>14724.857400000001</v>
      </c>
      <c r="G84">
        <v>140114.89739999999</v>
      </c>
    </row>
    <row r="85" spans="1:7" x14ac:dyDescent="0.2">
      <c r="A85">
        <v>416</v>
      </c>
      <c r="B85">
        <v>19</v>
      </c>
      <c r="C85">
        <v>20</v>
      </c>
      <c r="D85">
        <v>1458.47</v>
      </c>
      <c r="E85">
        <v>107926.78</v>
      </c>
      <c r="F85">
        <v>12674.104300000001</v>
      </c>
      <c r="G85">
        <v>120600.88430000001</v>
      </c>
    </row>
    <row r="86" spans="1:7" x14ac:dyDescent="0.2">
      <c r="A86">
        <v>417</v>
      </c>
      <c r="B86">
        <v>19</v>
      </c>
      <c r="C86">
        <v>21</v>
      </c>
      <c r="D86">
        <v>1850.72</v>
      </c>
      <c r="E86">
        <v>136953.28</v>
      </c>
      <c r="F86">
        <v>16082.756799999999</v>
      </c>
      <c r="G86">
        <v>153036.0368</v>
      </c>
    </row>
    <row r="87" spans="1:7" x14ac:dyDescent="0.2">
      <c r="A87">
        <v>418</v>
      </c>
      <c r="B87">
        <v>19</v>
      </c>
      <c r="C87">
        <v>22</v>
      </c>
      <c r="D87">
        <v>63.125300000000003</v>
      </c>
      <c r="E87">
        <v>4671.2722000000003</v>
      </c>
      <c r="F87">
        <v>548.5588570000001</v>
      </c>
      <c r="G87">
        <v>5219.8310570000003</v>
      </c>
    </row>
    <row r="88" spans="1:7" ht="15.75" customHeight="1" x14ac:dyDescent="0.2">
      <c r="A88">
        <v>440</v>
      </c>
      <c r="B88">
        <v>20</v>
      </c>
      <c r="C88">
        <v>22</v>
      </c>
      <c r="D88">
        <v>777.404</v>
      </c>
      <c r="E88">
        <v>57527.896000000001</v>
      </c>
      <c r="F88">
        <v>6755.6407600000011</v>
      </c>
      <c r="G88">
        <v>64283.536760000003</v>
      </c>
    </row>
    <row r="89" spans="1:7" x14ac:dyDescent="0.2">
      <c r="A89">
        <v>395</v>
      </c>
      <c r="B89">
        <v>18</v>
      </c>
      <c r="C89">
        <v>21</v>
      </c>
      <c r="D89">
        <v>757.58199999999999</v>
      </c>
      <c r="E89">
        <v>56061.067999999999</v>
      </c>
      <c r="F89">
        <v>6583.3875800000014</v>
      </c>
      <c r="G89">
        <v>62644.455580000002</v>
      </c>
    </row>
    <row r="90" spans="1:7" x14ac:dyDescent="0.2">
      <c r="A90">
        <v>462</v>
      </c>
      <c r="B90">
        <v>21</v>
      </c>
      <c r="C90">
        <v>22</v>
      </c>
      <c r="D90">
        <v>1678.18</v>
      </c>
      <c r="E90">
        <v>124185.32</v>
      </c>
      <c r="F90">
        <v>14583.3842</v>
      </c>
      <c r="G90">
        <v>138768.70420000001</v>
      </c>
    </row>
    <row r="91" spans="1:7" x14ac:dyDescent="0.2">
      <c r="A91">
        <v>23</v>
      </c>
      <c r="B91">
        <v>2</v>
      </c>
      <c r="C91">
        <v>1</v>
      </c>
      <c r="D91">
        <v>1090.92</v>
      </c>
      <c r="E91">
        <v>80728.08</v>
      </c>
      <c r="F91">
        <v>63142.449600000007</v>
      </c>
      <c r="G91">
        <v>143870.52960000001</v>
      </c>
    </row>
    <row r="92" spans="1:7" x14ac:dyDescent="0.2">
      <c r="A92">
        <v>45</v>
      </c>
      <c r="B92">
        <v>3</v>
      </c>
      <c r="C92">
        <v>1</v>
      </c>
      <c r="D92">
        <v>1295.3800000000001</v>
      </c>
      <c r="E92">
        <v>95858.12000000001</v>
      </c>
      <c r="F92">
        <v>74976.594400000016</v>
      </c>
      <c r="G92">
        <v>170834.7144</v>
      </c>
    </row>
    <row r="93" spans="1:7" x14ac:dyDescent="0.2">
      <c r="A93">
        <v>67</v>
      </c>
      <c r="B93">
        <v>4</v>
      </c>
      <c r="C93">
        <v>1</v>
      </c>
      <c r="D93">
        <v>667.70600000000002</v>
      </c>
      <c r="E93">
        <v>49410.243999999999</v>
      </c>
      <c r="F93">
        <v>38646.823279999997</v>
      </c>
      <c r="G93">
        <v>88057.067280000003</v>
      </c>
    </row>
    <row r="94" spans="1:7" x14ac:dyDescent="0.2">
      <c r="A94">
        <v>46</v>
      </c>
      <c r="B94">
        <v>3</v>
      </c>
      <c r="C94">
        <v>2</v>
      </c>
      <c r="D94">
        <v>539.1</v>
      </c>
      <c r="E94">
        <v>39893.4</v>
      </c>
      <c r="F94">
        <v>31203.108</v>
      </c>
      <c r="G94">
        <v>71096.508000000002</v>
      </c>
    </row>
    <row r="95" spans="1:7" x14ac:dyDescent="0.2">
      <c r="A95">
        <v>112</v>
      </c>
      <c r="B95">
        <v>6</v>
      </c>
      <c r="C95">
        <v>2</v>
      </c>
      <c r="D95">
        <v>62.137700000000002</v>
      </c>
      <c r="E95">
        <v>4598.1898000000001</v>
      </c>
      <c r="F95">
        <v>3596.530076</v>
      </c>
      <c r="G95">
        <v>8194.719876000001</v>
      </c>
    </row>
    <row r="96" spans="1:7" x14ac:dyDescent="0.2">
      <c r="A96">
        <v>134</v>
      </c>
      <c r="B96">
        <v>7</v>
      </c>
      <c r="C96">
        <v>2</v>
      </c>
      <c r="D96">
        <v>1116.76</v>
      </c>
      <c r="E96">
        <v>82640.240000000005</v>
      </c>
      <c r="F96">
        <v>64638.068800000001</v>
      </c>
      <c r="G96">
        <v>147278.3088</v>
      </c>
    </row>
    <row r="97" spans="1:7" x14ac:dyDescent="0.2">
      <c r="A97">
        <v>156</v>
      </c>
      <c r="B97">
        <v>8</v>
      </c>
      <c r="C97">
        <v>2</v>
      </c>
      <c r="D97">
        <v>660.17</v>
      </c>
      <c r="E97">
        <v>48852.579999999987</v>
      </c>
      <c r="F97">
        <v>38210.639600000002</v>
      </c>
      <c r="G97">
        <v>87063.219599999997</v>
      </c>
    </row>
    <row r="98" spans="1:7" x14ac:dyDescent="0.2">
      <c r="A98">
        <v>69</v>
      </c>
      <c r="B98">
        <v>4</v>
      </c>
      <c r="C98">
        <v>3</v>
      </c>
      <c r="D98">
        <v>580.41099999999994</v>
      </c>
      <c r="E98">
        <v>42950.413999999997</v>
      </c>
      <c r="F98">
        <v>33594.188679999999</v>
      </c>
      <c r="G98">
        <v>76544.602679999996</v>
      </c>
    </row>
    <row r="99" spans="1:7" x14ac:dyDescent="0.2">
      <c r="A99">
        <v>157</v>
      </c>
      <c r="B99">
        <v>8</v>
      </c>
      <c r="C99">
        <v>3</v>
      </c>
      <c r="D99">
        <v>446.48200000000003</v>
      </c>
      <c r="E99">
        <v>33039.668000000012</v>
      </c>
      <c r="F99">
        <v>25842.37816</v>
      </c>
      <c r="G99">
        <v>58882.046160000013</v>
      </c>
    </row>
    <row r="100" spans="1:7" x14ac:dyDescent="0.2">
      <c r="A100">
        <v>179</v>
      </c>
      <c r="B100">
        <v>9</v>
      </c>
      <c r="C100">
        <v>3</v>
      </c>
      <c r="D100">
        <v>654.13099999999997</v>
      </c>
      <c r="E100">
        <v>48405.694000000003</v>
      </c>
      <c r="F100">
        <v>37861.102279999999</v>
      </c>
      <c r="G100">
        <v>86266.796279999995</v>
      </c>
    </row>
    <row r="101" spans="1:7" x14ac:dyDescent="0.2">
      <c r="A101">
        <v>201</v>
      </c>
      <c r="B101">
        <v>10</v>
      </c>
      <c r="C101">
        <v>3</v>
      </c>
      <c r="D101">
        <v>474.13799999999998</v>
      </c>
      <c r="E101">
        <v>35086.212</v>
      </c>
      <c r="F101">
        <v>27443.10744</v>
      </c>
      <c r="G101">
        <v>62529.319439999999</v>
      </c>
    </row>
    <row r="102" spans="1:7" x14ac:dyDescent="0.2">
      <c r="A102">
        <v>202</v>
      </c>
      <c r="B102">
        <v>10</v>
      </c>
      <c r="C102">
        <v>4</v>
      </c>
      <c r="D102">
        <v>637.221</v>
      </c>
      <c r="E102">
        <v>47154.353999999999</v>
      </c>
      <c r="F102">
        <v>36882.351479999998</v>
      </c>
      <c r="G102">
        <v>84036.705480000004</v>
      </c>
    </row>
    <row r="103" spans="1:7" x14ac:dyDescent="0.2">
      <c r="A103">
        <v>225</v>
      </c>
      <c r="B103">
        <v>11</v>
      </c>
      <c r="C103">
        <v>5</v>
      </c>
      <c r="D103">
        <v>1090.8399999999999</v>
      </c>
      <c r="E103">
        <v>80722.159999999989</v>
      </c>
      <c r="F103">
        <v>63137.819199999998</v>
      </c>
      <c r="G103">
        <v>143859.9792</v>
      </c>
    </row>
    <row r="104" spans="1:7" x14ac:dyDescent="0.2">
      <c r="A104">
        <v>115</v>
      </c>
      <c r="B104">
        <v>6</v>
      </c>
      <c r="C104">
        <v>5</v>
      </c>
      <c r="D104">
        <v>2165.35</v>
      </c>
      <c r="E104">
        <v>160235.9</v>
      </c>
      <c r="F104">
        <v>125330.458</v>
      </c>
      <c r="G104">
        <v>285566.35800000001</v>
      </c>
    </row>
    <row r="105" spans="1:7" x14ac:dyDescent="0.2">
      <c r="A105">
        <v>138</v>
      </c>
      <c r="B105">
        <v>7</v>
      </c>
      <c r="C105">
        <v>6</v>
      </c>
      <c r="D105">
        <v>2363.92</v>
      </c>
      <c r="E105">
        <v>174930.08</v>
      </c>
      <c r="F105">
        <v>136823.68960000001</v>
      </c>
      <c r="G105">
        <v>311753.7696</v>
      </c>
    </row>
    <row r="106" spans="1:7" x14ac:dyDescent="0.2">
      <c r="A106">
        <v>248</v>
      </c>
      <c r="B106">
        <v>12</v>
      </c>
      <c r="C106">
        <v>6</v>
      </c>
      <c r="D106">
        <v>1243.25</v>
      </c>
      <c r="E106">
        <v>92000.5</v>
      </c>
      <c r="F106">
        <v>71959.31</v>
      </c>
      <c r="G106">
        <v>163959.81</v>
      </c>
    </row>
    <row r="107" spans="1:7" x14ac:dyDescent="0.2">
      <c r="A107">
        <v>161</v>
      </c>
      <c r="B107">
        <v>8</v>
      </c>
      <c r="C107">
        <v>7</v>
      </c>
      <c r="D107">
        <v>1653.49</v>
      </c>
      <c r="E107">
        <v>122358.26</v>
      </c>
      <c r="F107">
        <v>95704.001199999999</v>
      </c>
      <c r="G107">
        <v>218062.26120000001</v>
      </c>
    </row>
    <row r="108" spans="1:7" x14ac:dyDescent="0.2">
      <c r="A108">
        <v>249</v>
      </c>
      <c r="B108">
        <v>12</v>
      </c>
      <c r="C108">
        <v>7</v>
      </c>
      <c r="D108">
        <v>57.665700000000001</v>
      </c>
      <c r="E108">
        <v>4267.2618000000002</v>
      </c>
      <c r="F108">
        <v>3337.6907160000001</v>
      </c>
      <c r="G108">
        <v>7604.9525160000003</v>
      </c>
    </row>
    <row r="109" spans="1:7" x14ac:dyDescent="0.2">
      <c r="A109">
        <v>271</v>
      </c>
      <c r="B109">
        <v>13</v>
      </c>
      <c r="C109">
        <v>7</v>
      </c>
      <c r="D109">
        <v>1350.73</v>
      </c>
      <c r="E109">
        <v>99954.02</v>
      </c>
      <c r="F109">
        <v>78180.252399999998</v>
      </c>
      <c r="G109">
        <v>178134.27239999999</v>
      </c>
    </row>
    <row r="110" spans="1:7" x14ac:dyDescent="0.2">
      <c r="A110">
        <v>293</v>
      </c>
      <c r="B110">
        <v>14</v>
      </c>
      <c r="C110">
        <v>7</v>
      </c>
      <c r="D110">
        <v>205.26499999999999</v>
      </c>
      <c r="E110">
        <v>15189.61</v>
      </c>
      <c r="F110">
        <v>11880.7382</v>
      </c>
      <c r="G110">
        <v>27070.3482</v>
      </c>
    </row>
    <row r="111" spans="1:7" x14ac:dyDescent="0.2">
      <c r="A111">
        <v>184</v>
      </c>
      <c r="B111">
        <v>9</v>
      </c>
      <c r="C111">
        <v>8</v>
      </c>
      <c r="D111">
        <v>1593.54</v>
      </c>
      <c r="E111">
        <v>117921.96</v>
      </c>
      <c r="F111">
        <v>92234.095199999996</v>
      </c>
      <c r="G111">
        <v>210156.0552</v>
      </c>
    </row>
    <row r="112" spans="1:7" x14ac:dyDescent="0.2">
      <c r="A112">
        <v>294</v>
      </c>
      <c r="B112">
        <v>14</v>
      </c>
      <c r="C112">
        <v>8</v>
      </c>
      <c r="D112">
        <v>788.36500000000001</v>
      </c>
      <c r="E112">
        <v>58339.01</v>
      </c>
      <c r="F112">
        <v>45630.566200000001</v>
      </c>
      <c r="G112">
        <v>103969.5762</v>
      </c>
    </row>
    <row r="113" spans="1:7" x14ac:dyDescent="0.2">
      <c r="A113">
        <v>207</v>
      </c>
      <c r="B113">
        <v>10</v>
      </c>
      <c r="C113">
        <v>9</v>
      </c>
      <c r="D113">
        <v>2273.59</v>
      </c>
      <c r="E113">
        <v>168245.66</v>
      </c>
      <c r="F113">
        <v>131595.38920000001</v>
      </c>
      <c r="G113">
        <v>299841.04920000001</v>
      </c>
    </row>
    <row r="114" spans="1:7" x14ac:dyDescent="0.2">
      <c r="A114">
        <v>295</v>
      </c>
      <c r="B114">
        <v>14</v>
      </c>
      <c r="C114">
        <v>9</v>
      </c>
      <c r="D114">
        <v>57.334000000000003</v>
      </c>
      <c r="E114">
        <v>4242.7160000000003</v>
      </c>
      <c r="F114">
        <v>3318.4919199999999</v>
      </c>
      <c r="G114">
        <v>7561.2079200000007</v>
      </c>
    </row>
    <row r="115" spans="1:7" x14ac:dyDescent="0.2">
      <c r="A115">
        <v>317</v>
      </c>
      <c r="B115">
        <v>15</v>
      </c>
      <c r="C115">
        <v>9</v>
      </c>
      <c r="D115">
        <v>1503.34</v>
      </c>
      <c r="E115">
        <v>111247.16</v>
      </c>
      <c r="F115">
        <v>87013.319199999998</v>
      </c>
      <c r="G115">
        <v>198260.4792</v>
      </c>
    </row>
    <row r="116" spans="1:7" x14ac:dyDescent="0.2">
      <c r="A116">
        <v>318</v>
      </c>
      <c r="B116">
        <v>15</v>
      </c>
      <c r="C116">
        <v>10</v>
      </c>
      <c r="D116">
        <v>23.5566</v>
      </c>
      <c r="E116">
        <v>1743.1884</v>
      </c>
      <c r="F116">
        <v>1363.4560080000001</v>
      </c>
      <c r="G116">
        <v>3106.6444080000001</v>
      </c>
    </row>
    <row r="117" spans="1:7" x14ac:dyDescent="0.2">
      <c r="A117">
        <v>253</v>
      </c>
      <c r="B117">
        <v>12</v>
      </c>
      <c r="C117">
        <v>11</v>
      </c>
      <c r="D117">
        <v>1451.96</v>
      </c>
      <c r="E117">
        <v>107445.04</v>
      </c>
      <c r="F117">
        <v>84039.444800000012</v>
      </c>
      <c r="G117">
        <v>191484.48480000001</v>
      </c>
    </row>
    <row r="118" spans="1:7" x14ac:dyDescent="0.2">
      <c r="A118">
        <v>341</v>
      </c>
      <c r="B118">
        <v>16</v>
      </c>
      <c r="C118">
        <v>11</v>
      </c>
      <c r="D118">
        <v>1406.89</v>
      </c>
      <c r="E118">
        <v>104109.86</v>
      </c>
      <c r="F118">
        <v>12225.874100000001</v>
      </c>
      <c r="G118">
        <v>116335.7341</v>
      </c>
    </row>
    <row r="119" spans="1:7" x14ac:dyDescent="0.2">
      <c r="A119">
        <v>276</v>
      </c>
      <c r="B119">
        <v>13</v>
      </c>
      <c r="C119">
        <v>12</v>
      </c>
      <c r="D119">
        <v>1447.72</v>
      </c>
      <c r="E119">
        <v>107131.28</v>
      </c>
      <c r="F119">
        <v>83794.03360000001</v>
      </c>
      <c r="G119">
        <v>190925.31359999999</v>
      </c>
    </row>
    <row r="120" spans="1:7" x14ac:dyDescent="0.2">
      <c r="A120">
        <v>342</v>
      </c>
      <c r="B120">
        <v>16</v>
      </c>
      <c r="C120">
        <v>12</v>
      </c>
      <c r="D120">
        <v>1424.04</v>
      </c>
      <c r="E120">
        <v>105378.96</v>
      </c>
      <c r="F120">
        <v>12374.9076</v>
      </c>
      <c r="G120">
        <v>117753.8676</v>
      </c>
    </row>
    <row r="121" spans="1:7" x14ac:dyDescent="0.2">
      <c r="A121">
        <v>364</v>
      </c>
      <c r="B121">
        <v>17</v>
      </c>
      <c r="C121">
        <v>12</v>
      </c>
      <c r="D121">
        <v>426.774</v>
      </c>
      <c r="E121">
        <v>31581.276000000002</v>
      </c>
      <c r="F121">
        <v>3708.66606</v>
      </c>
      <c r="G121">
        <v>35289.942060000001</v>
      </c>
    </row>
    <row r="122" spans="1:7" x14ac:dyDescent="0.2">
      <c r="A122">
        <v>299</v>
      </c>
      <c r="B122">
        <v>14</v>
      </c>
      <c r="C122">
        <v>13</v>
      </c>
      <c r="D122">
        <v>1555.17</v>
      </c>
      <c r="E122">
        <v>115082.58</v>
      </c>
      <c r="F122">
        <v>90013.239600000015</v>
      </c>
      <c r="G122">
        <v>205095.81959999999</v>
      </c>
    </row>
    <row r="123" spans="1:7" x14ac:dyDescent="0.2">
      <c r="A123">
        <v>365</v>
      </c>
      <c r="B123">
        <v>17</v>
      </c>
      <c r="C123">
        <v>13</v>
      </c>
      <c r="D123">
        <v>1175.8800000000001</v>
      </c>
      <c r="E123">
        <v>87015.12000000001</v>
      </c>
      <c r="F123">
        <v>10218.397199999999</v>
      </c>
      <c r="G123">
        <v>97233.517200000017</v>
      </c>
    </row>
    <row r="124" spans="1:7" x14ac:dyDescent="0.2">
      <c r="A124">
        <v>322</v>
      </c>
      <c r="B124">
        <v>15</v>
      </c>
      <c r="C124">
        <v>14</v>
      </c>
      <c r="D124">
        <v>755.29600000000005</v>
      </c>
      <c r="E124">
        <v>55891.904000000002</v>
      </c>
      <c r="F124">
        <v>43716.532480000002</v>
      </c>
      <c r="G124">
        <v>99608.436480000004</v>
      </c>
    </row>
    <row r="125" spans="1:7" x14ac:dyDescent="0.2">
      <c r="A125">
        <v>388</v>
      </c>
      <c r="B125">
        <v>18</v>
      </c>
      <c r="C125">
        <v>14</v>
      </c>
      <c r="D125">
        <v>1302.4000000000001</v>
      </c>
      <c r="E125">
        <v>96377.600000000006</v>
      </c>
      <c r="F125">
        <v>11317.856</v>
      </c>
      <c r="G125">
        <v>107695.45600000001</v>
      </c>
    </row>
    <row r="126" spans="1:7" x14ac:dyDescent="0.2">
      <c r="A126">
        <v>410</v>
      </c>
      <c r="B126">
        <v>19</v>
      </c>
      <c r="C126">
        <v>14</v>
      </c>
      <c r="D126">
        <v>265.51600000000002</v>
      </c>
      <c r="E126">
        <v>19648.184000000001</v>
      </c>
      <c r="F126">
        <v>2307.3340400000011</v>
      </c>
      <c r="G126">
        <v>21955.518039999999</v>
      </c>
    </row>
    <row r="127" spans="1:7" x14ac:dyDescent="0.2">
      <c r="A127">
        <v>411</v>
      </c>
      <c r="B127">
        <v>19</v>
      </c>
      <c r="C127">
        <v>15</v>
      </c>
      <c r="D127">
        <v>1488.96</v>
      </c>
      <c r="E127">
        <v>110183.03999999999</v>
      </c>
      <c r="F127">
        <v>12939.062400000001</v>
      </c>
      <c r="G127">
        <v>123122.1024</v>
      </c>
    </row>
    <row r="128" spans="1:7" x14ac:dyDescent="0.2">
      <c r="A128">
        <v>368</v>
      </c>
      <c r="B128">
        <v>17</v>
      </c>
      <c r="C128">
        <v>16</v>
      </c>
      <c r="D128">
        <v>1353.96</v>
      </c>
      <c r="E128">
        <v>100193.04</v>
      </c>
      <c r="F128">
        <v>11765.912399999999</v>
      </c>
      <c r="G128">
        <v>111958.95239999999</v>
      </c>
    </row>
    <row r="129" spans="1:7" x14ac:dyDescent="0.2">
      <c r="A129">
        <v>391</v>
      </c>
      <c r="B129">
        <v>18</v>
      </c>
      <c r="C129">
        <v>17</v>
      </c>
      <c r="D129">
        <v>1404.46</v>
      </c>
      <c r="E129">
        <v>103930.04</v>
      </c>
      <c r="F129">
        <v>12204.7574</v>
      </c>
      <c r="G129">
        <v>116134.7974</v>
      </c>
    </row>
    <row r="130" spans="1:7" x14ac:dyDescent="0.2">
      <c r="A130">
        <v>414</v>
      </c>
      <c r="B130">
        <v>19</v>
      </c>
      <c r="C130">
        <v>18</v>
      </c>
      <c r="D130">
        <v>1694.46</v>
      </c>
      <c r="E130">
        <v>125390.04</v>
      </c>
      <c r="F130">
        <v>14724.857400000001</v>
      </c>
      <c r="G130">
        <v>140114.89739999999</v>
      </c>
    </row>
    <row r="131" spans="1:7" x14ac:dyDescent="0.2">
      <c r="A131">
        <v>437</v>
      </c>
      <c r="B131">
        <v>20</v>
      </c>
      <c r="C131">
        <v>19</v>
      </c>
      <c r="D131">
        <v>1458.47</v>
      </c>
      <c r="E131">
        <v>107926.78</v>
      </c>
      <c r="F131">
        <v>12674.104300000001</v>
      </c>
      <c r="G131">
        <v>120600.88430000001</v>
      </c>
    </row>
    <row r="132" spans="1:7" x14ac:dyDescent="0.2">
      <c r="A132">
        <v>459</v>
      </c>
      <c r="B132">
        <v>21</v>
      </c>
      <c r="C132">
        <v>19</v>
      </c>
      <c r="D132">
        <v>1850.72</v>
      </c>
      <c r="E132">
        <v>136953.28</v>
      </c>
      <c r="F132">
        <v>16082.756799999999</v>
      </c>
      <c r="G132">
        <v>153036.0368</v>
      </c>
    </row>
    <row r="133" spans="1:7" x14ac:dyDescent="0.2">
      <c r="A133">
        <v>481</v>
      </c>
      <c r="B133">
        <v>22</v>
      </c>
      <c r="C133">
        <v>19</v>
      </c>
      <c r="D133">
        <v>63.125300000000003</v>
      </c>
      <c r="E133">
        <v>4671.2722000000003</v>
      </c>
      <c r="F133">
        <v>548.5588570000001</v>
      </c>
      <c r="G133">
        <v>5219.8310570000003</v>
      </c>
    </row>
    <row r="134" spans="1:7" x14ac:dyDescent="0.2">
      <c r="A134">
        <v>482</v>
      </c>
      <c r="B134">
        <v>22</v>
      </c>
      <c r="C134">
        <v>20</v>
      </c>
      <c r="D134">
        <v>777.404</v>
      </c>
      <c r="E134">
        <v>57527.896000000001</v>
      </c>
      <c r="F134">
        <v>6755.6407600000011</v>
      </c>
      <c r="G134">
        <v>64283.536760000003</v>
      </c>
    </row>
    <row r="135" spans="1:7" x14ac:dyDescent="0.2">
      <c r="A135">
        <v>458</v>
      </c>
      <c r="B135">
        <v>21</v>
      </c>
      <c r="C135">
        <v>18</v>
      </c>
      <c r="D135">
        <v>757.58199999999999</v>
      </c>
      <c r="E135">
        <v>56061.067999999999</v>
      </c>
      <c r="F135">
        <v>6583.3875800000014</v>
      </c>
      <c r="G135">
        <v>62644.455580000002</v>
      </c>
    </row>
    <row r="136" spans="1:7" x14ac:dyDescent="0.2">
      <c r="A136">
        <v>483</v>
      </c>
      <c r="B136">
        <v>22</v>
      </c>
      <c r="C136">
        <v>21</v>
      </c>
      <c r="D136">
        <v>1678.18</v>
      </c>
      <c r="E136">
        <v>124185.32</v>
      </c>
      <c r="F136">
        <v>14583.3842</v>
      </c>
      <c r="G136">
        <v>138768.70420000001</v>
      </c>
    </row>
  </sheetData>
  <mergeCells count="6">
    <mergeCell ref="F1:P1"/>
    <mergeCell ref="R1:AB1"/>
    <mergeCell ref="BC1:BM1"/>
    <mergeCell ref="AD1:AN1"/>
    <mergeCell ref="CA1:CK1"/>
    <mergeCell ref="BO1:BY1"/>
  </mergeCells>
  <conditionalFormatting sqref="F3:F14 H3:O14 P3:P24">
    <cfRule type="colorScale" priority="8">
      <colorScale>
        <cfvo type="min"/>
        <cfvo type="max"/>
        <color rgb="FFFCFCFF"/>
        <color rgb="FFF8696B"/>
      </colorScale>
    </cfRule>
  </conditionalFormatting>
  <conditionalFormatting sqref="F3:F24 H3:P2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:F25 G27 H3:P25 G3:G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AB14">
    <cfRule type="colorScale" priority="7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AB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N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BA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:BA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:BM2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3:BY24 BO26:BO3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3:BY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3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3:CK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138A-F6BA-5B40-80E7-D03BC2E7ACDF}">
  <dimension ref="A1:CC23"/>
  <sheetViews>
    <sheetView workbookViewId="0">
      <selection activeCell="F2" sqref="F2:F23"/>
    </sheetView>
  </sheetViews>
  <sheetFormatPr baseColWidth="10" defaultRowHeight="15" x14ac:dyDescent="0.2"/>
  <sheetData>
    <row r="1" spans="1:81" x14ac:dyDescent="0.2">
      <c r="A1" t="s">
        <v>7</v>
      </c>
      <c r="B1" t="s">
        <v>253</v>
      </c>
      <c r="C1" t="s">
        <v>9</v>
      </c>
      <c r="D1" t="s">
        <v>10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  <c r="T1" t="s">
        <v>191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197</v>
      </c>
      <c r="AA1" t="s">
        <v>198</v>
      </c>
      <c r="AB1" t="s">
        <v>199</v>
      </c>
      <c r="AC1" t="s">
        <v>200</v>
      </c>
      <c r="AD1" t="s">
        <v>201</v>
      </c>
      <c r="AE1" t="s">
        <v>202</v>
      </c>
      <c r="AF1" t="s">
        <v>203</v>
      </c>
      <c r="AG1" t="s">
        <v>204</v>
      </c>
      <c r="AH1" t="s">
        <v>205</v>
      </c>
      <c r="AI1" t="s">
        <v>206</v>
      </c>
      <c r="AJ1" t="s">
        <v>207</v>
      </c>
      <c r="AK1" t="s">
        <v>208</v>
      </c>
      <c r="AL1" t="s">
        <v>209</v>
      </c>
      <c r="AM1" t="s">
        <v>210</v>
      </c>
      <c r="AN1" t="s">
        <v>211</v>
      </c>
      <c r="AO1" t="s">
        <v>212</v>
      </c>
      <c r="AP1" t="s">
        <v>213</v>
      </c>
      <c r="AQ1" t="s">
        <v>214</v>
      </c>
      <c r="AR1" t="s">
        <v>215</v>
      </c>
      <c r="AS1" t="s">
        <v>216</v>
      </c>
      <c r="AT1" t="s">
        <v>217</v>
      </c>
      <c r="AU1" t="s">
        <v>218</v>
      </c>
      <c r="AV1" t="s">
        <v>219</v>
      </c>
      <c r="AW1" t="s">
        <v>220</v>
      </c>
      <c r="AX1" t="s">
        <v>221</v>
      </c>
      <c r="AY1" t="s">
        <v>222</v>
      </c>
      <c r="AZ1" t="s">
        <v>223</v>
      </c>
      <c r="BA1" t="s">
        <v>224</v>
      </c>
      <c r="BB1" t="s">
        <v>225</v>
      </c>
      <c r="BC1" t="s">
        <v>226</v>
      </c>
      <c r="BD1" t="s">
        <v>227</v>
      </c>
      <c r="BE1" t="s">
        <v>228</v>
      </c>
      <c r="BF1" t="s">
        <v>229</v>
      </c>
      <c r="BG1" t="s">
        <v>230</v>
      </c>
      <c r="BH1" t="s">
        <v>231</v>
      </c>
      <c r="BI1" t="s">
        <v>232</v>
      </c>
      <c r="BJ1" t="s">
        <v>233</v>
      </c>
      <c r="BK1" t="s">
        <v>234</v>
      </c>
      <c r="BL1" t="s">
        <v>235</v>
      </c>
      <c r="BM1" t="s">
        <v>236</v>
      </c>
      <c r="BN1" t="s">
        <v>237</v>
      </c>
      <c r="BO1" t="s">
        <v>238</v>
      </c>
      <c r="BP1" t="s">
        <v>239</v>
      </c>
      <c r="BQ1" t="s">
        <v>240</v>
      </c>
      <c r="BR1" t="s">
        <v>241</v>
      </c>
      <c r="BS1" t="s">
        <v>242</v>
      </c>
      <c r="BT1" t="s">
        <v>243</v>
      </c>
      <c r="BU1" t="s">
        <v>244</v>
      </c>
      <c r="BV1" t="s">
        <v>245</v>
      </c>
      <c r="BW1" t="s">
        <v>246</v>
      </c>
      <c r="BX1" t="s">
        <v>247</v>
      </c>
      <c r="BY1" t="s">
        <v>248</v>
      </c>
      <c r="BZ1" t="s">
        <v>249</v>
      </c>
      <c r="CA1" t="s">
        <v>250</v>
      </c>
      <c r="CB1" t="s">
        <v>251</v>
      </c>
      <c r="CC1" t="s">
        <v>252</v>
      </c>
    </row>
    <row r="2" spans="1:81" x14ac:dyDescent="0.2">
      <c r="A2" t="s">
        <v>22</v>
      </c>
      <c r="B2" t="s">
        <v>23</v>
      </c>
      <c r="C2">
        <v>488554</v>
      </c>
      <c r="D2">
        <v>1</v>
      </c>
      <c r="E2" s="11">
        <v>802403.49633800006</v>
      </c>
      <c r="F2" s="12">
        <f>paddock_data!G3</f>
        <v>1686.8636445255188</v>
      </c>
      <c r="G2" s="11">
        <v>945878.41916196817</v>
      </c>
      <c r="H2" s="11">
        <v>802403.49633800006</v>
      </c>
      <c r="I2" s="11">
        <v>1291900.0540759999</v>
      </c>
      <c r="J2" s="12">
        <v>1291900.0540759999</v>
      </c>
      <c r="K2" s="11">
        <v>1994684.9830759999</v>
      </c>
      <c r="L2" s="11">
        <v>802403.49633800006</v>
      </c>
      <c r="M2" s="11">
        <v>802403.49633800006</v>
      </c>
      <c r="N2" s="11">
        <v>578767.946138</v>
      </c>
      <c r="O2" s="11">
        <v>0</v>
      </c>
      <c r="P2" s="11">
        <v>0.5296649064092358</v>
      </c>
      <c r="Q2" s="11">
        <v>0.2118659625636943</v>
      </c>
      <c r="R2" s="11">
        <v>0.5296649064092358</v>
      </c>
      <c r="S2" s="11">
        <v>0.5296649064092358</v>
      </c>
      <c r="T2" s="11">
        <v>0.5296649064092358</v>
      </c>
      <c r="U2" s="11">
        <v>0.52966491121256276</v>
      </c>
      <c r="V2" s="11">
        <v>0.60123687199147324</v>
      </c>
      <c r="W2" s="11">
        <v>0.52966491121256276</v>
      </c>
      <c r="X2" s="11">
        <v>0.52966491121256276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3.6574587507156092E-3</v>
      </c>
      <c r="AM2" s="11">
        <v>2.5286094319702649E-3</v>
      </c>
      <c r="AN2" s="11">
        <v>1.881415531242239E-3</v>
      </c>
      <c r="AO2" s="11">
        <v>4.5454803604522932E-3</v>
      </c>
      <c r="AP2" s="11">
        <v>4.5454803604522932E-3</v>
      </c>
      <c r="AQ2" s="11">
        <v>5.4335019872508101E-3</v>
      </c>
      <c r="AR2" s="11">
        <v>8.3517966077524593E-3</v>
      </c>
      <c r="AS2" s="11">
        <v>4.4401080486834226E-3</v>
      </c>
      <c r="AT2" s="11">
        <v>7.2095452067241789E-3</v>
      </c>
      <c r="AU2" s="11">
        <v>4.4401080486834226E-3</v>
      </c>
      <c r="AV2" s="11">
        <v>1.7760432194733691E-3</v>
      </c>
      <c r="AW2" s="11">
        <v>3</v>
      </c>
      <c r="AX2" s="11">
        <v>9</v>
      </c>
      <c r="AY2" s="11">
        <v>9</v>
      </c>
      <c r="AZ2" s="11">
        <v>3</v>
      </c>
      <c r="BA2" s="11">
        <v>3</v>
      </c>
      <c r="BB2" s="11">
        <v>3</v>
      </c>
      <c r="BC2" s="11">
        <v>9</v>
      </c>
      <c r="BD2" s="11">
        <v>3</v>
      </c>
      <c r="BE2" s="11">
        <v>3</v>
      </c>
      <c r="BF2" s="11">
        <v>6</v>
      </c>
      <c r="BG2" s="11">
        <v>0</v>
      </c>
      <c r="BH2" s="11">
        <v>1</v>
      </c>
      <c r="BI2" s="11">
        <v>1</v>
      </c>
      <c r="BJ2" s="11">
        <v>1</v>
      </c>
      <c r="BK2" s="11">
        <v>-2</v>
      </c>
      <c r="BL2" s="11">
        <v>-4</v>
      </c>
      <c r="BM2" s="11">
        <v>-4</v>
      </c>
      <c r="BN2" s="11">
        <v>-4</v>
      </c>
      <c r="BO2" s="11">
        <v>1</v>
      </c>
      <c r="BP2" s="11">
        <v>-3</v>
      </c>
      <c r="BQ2" s="11">
        <v>2</v>
      </c>
      <c r="BR2" s="11">
        <v>0</v>
      </c>
      <c r="BS2" s="11">
        <v>3</v>
      </c>
      <c r="BT2" s="11">
        <v>1</v>
      </c>
      <c r="BU2" s="11">
        <v>4</v>
      </c>
      <c r="BV2" s="11">
        <v>-4</v>
      </c>
      <c r="BW2" s="11">
        <v>-4</v>
      </c>
      <c r="BX2" s="11">
        <v>-4</v>
      </c>
      <c r="BY2" s="11">
        <v>-4</v>
      </c>
      <c r="BZ2" s="11">
        <v>1</v>
      </c>
      <c r="CA2" s="11">
        <v>-4</v>
      </c>
      <c r="CB2" s="11">
        <v>2</v>
      </c>
      <c r="CC2" s="11">
        <v>0</v>
      </c>
    </row>
    <row r="3" spans="1:81" x14ac:dyDescent="0.2">
      <c r="A3" t="s">
        <v>22</v>
      </c>
      <c r="B3" t="s">
        <v>23</v>
      </c>
      <c r="C3">
        <v>564453</v>
      </c>
      <c r="D3">
        <v>2</v>
      </c>
      <c r="E3" s="11">
        <v>585346.40343599999</v>
      </c>
      <c r="F3" s="12">
        <f>paddock_data!G4</f>
        <v>1948.9252871604015</v>
      </c>
      <c r="G3" s="11">
        <v>702251.94375796814</v>
      </c>
      <c r="H3" s="11">
        <v>585346.40343599999</v>
      </c>
      <c r="I3" s="11">
        <v>953029.72347199998</v>
      </c>
      <c r="J3" s="12">
        <v>953937.32817600004</v>
      </c>
      <c r="K3" s="11">
        <v>1765902.9686759999</v>
      </c>
      <c r="L3" s="11">
        <v>586254.00814000005</v>
      </c>
      <c r="M3" s="11">
        <v>586254.00814000005</v>
      </c>
      <c r="N3" s="11">
        <v>478274.73753599997</v>
      </c>
      <c r="O3" s="11">
        <v>0</v>
      </c>
      <c r="P3" s="11">
        <v>0.79747095561404646</v>
      </c>
      <c r="Q3" s="11">
        <v>0.31898838224561848</v>
      </c>
      <c r="R3" s="11">
        <v>0.79747095561404646</v>
      </c>
      <c r="S3" s="11">
        <v>0.79747095561404646</v>
      </c>
      <c r="T3" s="11">
        <v>0.79747095561404646</v>
      </c>
      <c r="U3" s="11">
        <v>0.79747095467098494</v>
      </c>
      <c r="V3" s="11">
        <v>1</v>
      </c>
      <c r="W3" s="11">
        <v>0.79747095467098494</v>
      </c>
      <c r="X3" s="11">
        <v>0.79747095467098494</v>
      </c>
      <c r="Y3" s="11">
        <v>0</v>
      </c>
      <c r="Z3" s="11">
        <v>0</v>
      </c>
      <c r="AA3" s="11">
        <v>3.0568155025479612E-3</v>
      </c>
      <c r="AB3" s="11">
        <v>1.929520173397845E-3</v>
      </c>
      <c r="AC3" s="11">
        <v>1.8788255485835269E-3</v>
      </c>
      <c r="AD3" s="11">
        <v>3.645810479530177E-3</v>
      </c>
      <c r="AE3" s="11">
        <v>3.645810479530177E-3</v>
      </c>
      <c r="AF3" s="11">
        <v>4.2348054542905612E-3</v>
      </c>
      <c r="AG3" s="11">
        <v>6.4789447468043852E-3</v>
      </c>
      <c r="AH3" s="11">
        <v>2.944974884911084E-3</v>
      </c>
      <c r="AI3" s="11">
        <v>5.4127954082549947E-3</v>
      </c>
      <c r="AJ3" s="11">
        <v>2.944974884911084E-3</v>
      </c>
      <c r="AK3" s="11">
        <v>1.1779899539644341E-3</v>
      </c>
      <c r="AL3" s="11">
        <v>1.328163650190606E-3</v>
      </c>
      <c r="AM3" s="11">
        <v>8.3836219571654827E-4</v>
      </c>
      <c r="AN3" s="11">
        <v>8.1633575745676317E-4</v>
      </c>
      <c r="AO3" s="11">
        <v>1.5840775965575279E-3</v>
      </c>
      <c r="AP3" s="11">
        <v>1.5840775965575279E-3</v>
      </c>
      <c r="AQ3" s="11">
        <v>1.839991541959079E-3</v>
      </c>
      <c r="AR3" s="11">
        <v>2.8150534100361379E-3</v>
      </c>
      <c r="AS3" s="11">
        <v>1.279569731834608E-3</v>
      </c>
      <c r="AT3" s="11">
        <v>2.3518194346929221E-3</v>
      </c>
      <c r="AU3" s="11">
        <v>1.279569731834608E-3</v>
      </c>
      <c r="AV3" s="11">
        <v>5.1182789273384308E-4</v>
      </c>
      <c r="AW3" s="11">
        <v>3</v>
      </c>
      <c r="AX3" s="11">
        <v>9</v>
      </c>
      <c r="AY3" s="11">
        <v>9</v>
      </c>
      <c r="AZ3" s="11">
        <v>3</v>
      </c>
      <c r="BA3" s="11">
        <v>3</v>
      </c>
      <c r="BB3" s="11">
        <v>3</v>
      </c>
      <c r="BC3" s="11">
        <v>9</v>
      </c>
      <c r="BD3" s="11">
        <v>3</v>
      </c>
      <c r="BE3" s="11">
        <v>3</v>
      </c>
      <c r="BF3" s="11">
        <v>6</v>
      </c>
      <c r="BG3" s="11">
        <v>0</v>
      </c>
      <c r="BH3" s="11">
        <v>1</v>
      </c>
      <c r="BI3" s="11">
        <v>1</v>
      </c>
      <c r="BJ3" s="11">
        <v>1</v>
      </c>
      <c r="BK3" s="11">
        <v>-2</v>
      </c>
      <c r="BL3" s="11">
        <v>-4</v>
      </c>
      <c r="BM3" s="11">
        <v>-4</v>
      </c>
      <c r="BN3" s="11">
        <v>-4</v>
      </c>
      <c r="BO3" s="11">
        <v>1</v>
      </c>
      <c r="BP3" s="11">
        <v>-3</v>
      </c>
      <c r="BQ3" s="11">
        <v>2</v>
      </c>
      <c r="BR3" s="11">
        <v>0</v>
      </c>
      <c r="BS3" s="11">
        <v>3</v>
      </c>
      <c r="BT3" s="11">
        <v>1</v>
      </c>
      <c r="BU3" s="11">
        <v>4</v>
      </c>
      <c r="BV3" s="11">
        <v>-4</v>
      </c>
      <c r="BW3" s="11">
        <v>-4</v>
      </c>
      <c r="BX3" s="11">
        <v>-4</v>
      </c>
      <c r="BY3" s="11">
        <v>-4</v>
      </c>
      <c r="BZ3" s="11">
        <v>1</v>
      </c>
      <c r="CA3" s="11">
        <v>-4</v>
      </c>
      <c r="CB3" s="11">
        <v>2</v>
      </c>
      <c r="CC3" s="11">
        <v>0</v>
      </c>
    </row>
    <row r="4" spans="1:81" x14ac:dyDescent="0.2">
      <c r="A4" t="s">
        <v>22</v>
      </c>
      <c r="B4" t="s">
        <v>23</v>
      </c>
      <c r="C4">
        <v>804948</v>
      </c>
      <c r="D4">
        <v>3</v>
      </c>
      <c r="E4" s="11">
        <v>543880.33896800003</v>
      </c>
      <c r="F4" s="12">
        <f>paddock_data!G5</f>
        <v>2779.2987406377338</v>
      </c>
      <c r="G4" s="11">
        <v>655710.1284219682</v>
      </c>
      <c r="H4" s="11">
        <v>543880.33896800003</v>
      </c>
      <c r="I4" s="11">
        <v>888292.75133600004</v>
      </c>
      <c r="J4" s="12">
        <v>890642.26260000002</v>
      </c>
      <c r="K4" s="11">
        <v>2048559.9606000001</v>
      </c>
      <c r="L4" s="11">
        <v>546229.850232</v>
      </c>
      <c r="M4" s="11">
        <v>546229.850232</v>
      </c>
      <c r="N4" s="11">
        <v>522558.87536800001</v>
      </c>
      <c r="O4" s="11">
        <v>0</v>
      </c>
      <c r="P4" s="11">
        <v>0.49385319236683017</v>
      </c>
      <c r="Q4" s="11">
        <v>0.19754127694673199</v>
      </c>
      <c r="R4" s="11">
        <v>0.49385319236683017</v>
      </c>
      <c r="S4" s="11">
        <v>0.49385319236683017</v>
      </c>
      <c r="T4" s="11">
        <v>0.49385319236683017</v>
      </c>
      <c r="U4" s="11">
        <v>0.49412888224104279</v>
      </c>
      <c r="V4" s="11">
        <v>0.58139775990950648</v>
      </c>
      <c r="W4" s="11">
        <v>0.49412888224104279</v>
      </c>
      <c r="X4" s="11">
        <v>0.49412888224104279</v>
      </c>
      <c r="Y4" s="11">
        <v>0</v>
      </c>
      <c r="Z4" s="11">
        <v>0</v>
      </c>
      <c r="AA4" s="11">
        <v>7.0244944579416456E-3</v>
      </c>
      <c r="AB4" s="11">
        <v>4.9301797003126384E-3</v>
      </c>
      <c r="AC4" s="11">
        <v>3.4905245960483462E-3</v>
      </c>
      <c r="AD4" s="11">
        <v>8.7914793888882979E-3</v>
      </c>
      <c r="AE4" s="11">
        <v>8.7914793888882979E-3</v>
      </c>
      <c r="AF4" s="11">
        <v>1.0560412879248341E-2</v>
      </c>
      <c r="AG4" s="11">
        <v>1.6478178839211498E-2</v>
      </c>
      <c r="AH4" s="11">
        <v>8.8349246547332529E-3</v>
      </c>
      <c r="AI4" s="11">
        <v>1.409438274114164E-2</v>
      </c>
      <c r="AJ4" s="11">
        <v>8.8349246547332529E-3</v>
      </c>
      <c r="AK4" s="11">
        <v>3.5339698618933012E-3</v>
      </c>
      <c r="AL4" s="11">
        <v>1.579458641780632E-2</v>
      </c>
      <c r="AM4" s="11">
        <v>1.108551651626192E-2</v>
      </c>
      <c r="AN4" s="11">
        <v>7.8484498359073351E-3</v>
      </c>
      <c r="AO4" s="11">
        <v>1.976765470875582E-2</v>
      </c>
      <c r="AP4" s="11">
        <v>1.976765470875582E-2</v>
      </c>
      <c r="AQ4" s="11">
        <v>2.3745104338494791E-2</v>
      </c>
      <c r="AR4" s="11">
        <v>3.7051210053948569E-2</v>
      </c>
      <c r="AS4" s="11">
        <v>1.986534145474747E-2</v>
      </c>
      <c r="AT4" s="11">
        <v>3.1691240920393778E-2</v>
      </c>
      <c r="AU4" s="11">
        <v>1.986534145474747E-2</v>
      </c>
      <c r="AV4" s="11">
        <v>7.9461365818989868E-3</v>
      </c>
      <c r="AW4" s="11">
        <v>3</v>
      </c>
      <c r="AX4" s="11">
        <v>9</v>
      </c>
      <c r="AY4" s="11">
        <v>9</v>
      </c>
      <c r="AZ4" s="11">
        <v>3</v>
      </c>
      <c r="BA4" s="11">
        <v>3</v>
      </c>
      <c r="BB4" s="11">
        <v>3</v>
      </c>
      <c r="BC4" s="11">
        <v>9</v>
      </c>
      <c r="BD4" s="11">
        <v>3</v>
      </c>
      <c r="BE4" s="11">
        <v>3</v>
      </c>
      <c r="BF4" s="11">
        <v>6</v>
      </c>
      <c r="BG4" s="11">
        <v>0</v>
      </c>
      <c r="BH4" s="11">
        <v>1</v>
      </c>
      <c r="BI4" s="11">
        <v>1</v>
      </c>
      <c r="BJ4" s="11">
        <v>1</v>
      </c>
      <c r="BK4" s="11">
        <v>-2</v>
      </c>
      <c r="BL4" s="11">
        <v>-4</v>
      </c>
      <c r="BM4" s="11">
        <v>-4</v>
      </c>
      <c r="BN4" s="11">
        <v>-4</v>
      </c>
      <c r="BO4" s="11">
        <v>1</v>
      </c>
      <c r="BP4" s="11">
        <v>-3</v>
      </c>
      <c r="BQ4" s="11">
        <v>2</v>
      </c>
      <c r="BR4" s="11">
        <v>0</v>
      </c>
      <c r="BS4" s="11">
        <v>3</v>
      </c>
      <c r="BT4" s="11">
        <v>1</v>
      </c>
      <c r="BU4" s="11">
        <v>4</v>
      </c>
      <c r="BV4" s="11">
        <v>-4</v>
      </c>
      <c r="BW4" s="11">
        <v>-4</v>
      </c>
      <c r="BX4" s="11">
        <v>-4</v>
      </c>
      <c r="BY4" s="11">
        <v>-4</v>
      </c>
      <c r="BZ4" s="11">
        <v>1</v>
      </c>
      <c r="CA4" s="11">
        <v>-4</v>
      </c>
      <c r="CB4" s="11">
        <v>2</v>
      </c>
      <c r="CC4" s="11">
        <v>0</v>
      </c>
    </row>
    <row r="5" spans="1:81" x14ac:dyDescent="0.2">
      <c r="A5" t="s">
        <v>22</v>
      </c>
      <c r="B5" t="s">
        <v>23</v>
      </c>
      <c r="C5">
        <v>704315</v>
      </c>
      <c r="D5">
        <v>4</v>
      </c>
      <c r="E5" s="11">
        <v>460198.98224799999</v>
      </c>
      <c r="F5" s="12">
        <f>paddock_data!G6</f>
        <v>2431.8363329212143</v>
      </c>
      <c r="G5" s="11">
        <v>561785.55898196821</v>
      </c>
      <c r="H5" s="11">
        <v>460198.98224799999</v>
      </c>
      <c r="I5" s="11">
        <v>757649.10989600001</v>
      </c>
      <c r="J5" s="12">
        <v>759681.45033600007</v>
      </c>
      <c r="K5" s="11">
        <v>1772838.5778359999</v>
      </c>
      <c r="L5" s="11">
        <v>462231.32268799999</v>
      </c>
      <c r="M5" s="11">
        <v>462231.32268799999</v>
      </c>
      <c r="N5" s="11">
        <v>447328.78094800003</v>
      </c>
      <c r="O5" s="11">
        <v>0</v>
      </c>
      <c r="P5" s="11">
        <v>0.33064545309026089</v>
      </c>
      <c r="Q5" s="11">
        <v>0.13225818123610431</v>
      </c>
      <c r="R5" s="11">
        <v>0.33064545309026089</v>
      </c>
      <c r="S5" s="11">
        <v>0.33064545309026089</v>
      </c>
      <c r="T5" s="11">
        <v>0.33064545309026089</v>
      </c>
      <c r="U5" s="11">
        <v>0.33064543719760758</v>
      </c>
      <c r="V5" s="11">
        <v>0.40876936705325839</v>
      </c>
      <c r="W5" s="11">
        <v>0.33064543719760758</v>
      </c>
      <c r="X5" s="11">
        <v>0.33064543719760758</v>
      </c>
      <c r="Y5" s="11">
        <v>0</v>
      </c>
      <c r="Z5" s="11">
        <v>0</v>
      </c>
      <c r="AA5" s="11">
        <v>5.2186239949150006E-3</v>
      </c>
      <c r="AB5" s="11">
        <v>3.9722335243090939E-3</v>
      </c>
      <c r="AC5" s="11">
        <v>2.077317451009844E-3</v>
      </c>
      <c r="AD5" s="11">
        <v>6.7892772668675791E-3</v>
      </c>
      <c r="AE5" s="11">
        <v>6.7892772668675791E-3</v>
      </c>
      <c r="AF5" s="11">
        <v>8.3599304389727642E-3</v>
      </c>
      <c r="AG5" s="11">
        <v>1.356271267901279E-2</v>
      </c>
      <c r="AH5" s="11">
        <v>7.8532663597628907E-3</v>
      </c>
      <c r="AI5" s="11">
        <v>1.1501236982877919E-2</v>
      </c>
      <c r="AJ5" s="11">
        <v>7.8532663597628907E-3</v>
      </c>
      <c r="AK5" s="11">
        <v>3.141306543905157E-3</v>
      </c>
      <c r="AL5" s="11">
        <v>6.7555995110419442E-3</v>
      </c>
      <c r="AM5" s="11">
        <v>5.1421253726489273E-3</v>
      </c>
      <c r="AN5" s="11">
        <v>2.6891235639883602E-3</v>
      </c>
      <c r="AO5" s="11">
        <v>8.7888374845687348E-3</v>
      </c>
      <c r="AP5" s="11">
        <v>8.7888374845687348E-3</v>
      </c>
      <c r="AQ5" s="11">
        <v>1.082207532884134E-2</v>
      </c>
      <c r="AR5" s="11">
        <v>1.7557167412716328E-2</v>
      </c>
      <c r="AS5" s="11">
        <v>1.016618986763396E-2</v>
      </c>
      <c r="AT5" s="11">
        <v>1.488855127589492E-2</v>
      </c>
      <c r="AU5" s="11">
        <v>1.016618986763396E-2</v>
      </c>
      <c r="AV5" s="11">
        <v>4.0664759470535831E-3</v>
      </c>
      <c r="AW5" s="11">
        <v>3</v>
      </c>
      <c r="AX5" s="11">
        <v>9</v>
      </c>
      <c r="AY5" s="11">
        <v>9</v>
      </c>
      <c r="AZ5" s="11">
        <v>3</v>
      </c>
      <c r="BA5" s="11">
        <v>3</v>
      </c>
      <c r="BB5" s="11">
        <v>3</v>
      </c>
      <c r="BC5" s="11">
        <v>9</v>
      </c>
      <c r="BD5" s="11">
        <v>3</v>
      </c>
      <c r="BE5" s="11">
        <v>3</v>
      </c>
      <c r="BF5" s="11">
        <v>6</v>
      </c>
      <c r="BG5" s="11">
        <v>0</v>
      </c>
      <c r="BH5" s="11">
        <v>1</v>
      </c>
      <c r="BI5" s="11">
        <v>1</v>
      </c>
      <c r="BJ5" s="11">
        <v>1</v>
      </c>
      <c r="BK5" s="11">
        <v>-2</v>
      </c>
      <c r="BL5" s="11">
        <v>-4</v>
      </c>
      <c r="BM5" s="11">
        <v>-4</v>
      </c>
      <c r="BN5" s="11">
        <v>-4</v>
      </c>
      <c r="BO5" s="11">
        <v>1</v>
      </c>
      <c r="BP5" s="11">
        <v>-3</v>
      </c>
      <c r="BQ5" s="11">
        <v>2</v>
      </c>
      <c r="BR5" s="11">
        <v>0</v>
      </c>
      <c r="BS5" s="11">
        <v>3</v>
      </c>
      <c r="BT5" s="11">
        <v>1</v>
      </c>
      <c r="BU5" s="11">
        <v>4</v>
      </c>
      <c r="BV5" s="11">
        <v>-4</v>
      </c>
      <c r="BW5" s="11">
        <v>-4</v>
      </c>
      <c r="BX5" s="11">
        <v>-4</v>
      </c>
      <c r="BY5" s="11">
        <v>-4</v>
      </c>
      <c r="BZ5" s="11">
        <v>1</v>
      </c>
      <c r="CA5" s="11">
        <v>-4</v>
      </c>
      <c r="CB5" s="11">
        <v>2</v>
      </c>
      <c r="CC5" s="11">
        <v>0</v>
      </c>
    </row>
    <row r="6" spans="1:81" x14ac:dyDescent="0.2">
      <c r="A6" t="s">
        <v>22</v>
      </c>
      <c r="B6" t="s">
        <v>23</v>
      </c>
      <c r="C6">
        <v>2172640</v>
      </c>
      <c r="D6">
        <v>5</v>
      </c>
      <c r="E6" s="11">
        <v>906962.9822219999</v>
      </c>
      <c r="F6" s="12">
        <f>paddock_data!G7</f>
        <v>7501.6219878292331</v>
      </c>
      <c r="G6" s="11">
        <v>1063236.7541299679</v>
      </c>
      <c r="H6" s="11">
        <v>906962.9822219999</v>
      </c>
      <c r="I6" s="11">
        <v>1455138.7074440001</v>
      </c>
      <c r="J6" s="12">
        <v>1467222.1992840001</v>
      </c>
      <c r="K6" s="11">
        <v>4592564.839284</v>
      </c>
      <c r="L6" s="11">
        <v>919046.47406199994</v>
      </c>
      <c r="M6" s="11">
        <v>919046.47406199994</v>
      </c>
      <c r="N6" s="11">
        <v>1110506.871022</v>
      </c>
      <c r="O6" s="11">
        <v>0</v>
      </c>
      <c r="P6" s="11">
        <v>0.40267765212501189</v>
      </c>
      <c r="Q6" s="11">
        <v>0.16107106085000469</v>
      </c>
      <c r="R6" s="11">
        <v>0.40267765212501189</v>
      </c>
      <c r="S6" s="11">
        <v>0.40267765212501189</v>
      </c>
      <c r="T6" s="11">
        <v>0.40267765212501189</v>
      </c>
      <c r="U6" s="11">
        <v>0.40383330692192232</v>
      </c>
      <c r="V6" s="11">
        <v>0.56260033082823524</v>
      </c>
      <c r="W6" s="11">
        <v>0.40383330692192232</v>
      </c>
      <c r="X6" s="11">
        <v>0.40383330692192232</v>
      </c>
      <c r="Y6" s="11">
        <v>0</v>
      </c>
      <c r="Z6" s="11">
        <v>0</v>
      </c>
      <c r="AA6" s="11">
        <v>4.1116014627030018E-2</v>
      </c>
      <c r="AB6" s="11">
        <v>3.0111089316799431E-2</v>
      </c>
      <c r="AC6" s="11">
        <v>1.834154218371763E-2</v>
      </c>
      <c r="AD6" s="11">
        <v>5.2503250848686213E-2</v>
      </c>
      <c r="AE6" s="11">
        <v>5.2503250848686213E-2</v>
      </c>
      <c r="AF6" s="11">
        <v>6.3943125926994832E-2</v>
      </c>
      <c r="AG6" s="11">
        <v>0.10533650501368549</v>
      </c>
      <c r="AH6" s="11">
        <v>5.6936181108280963E-2</v>
      </c>
      <c r="AI6" s="11">
        <v>8.6717598370307222E-2</v>
      </c>
      <c r="AJ6" s="11">
        <v>5.6936181108280963E-2</v>
      </c>
      <c r="AK6" s="11">
        <v>2.277447244331238E-2</v>
      </c>
      <c r="AL6" s="11">
        <v>4.1341202506598979E-2</v>
      </c>
      <c r="AM6" s="11">
        <v>3.0276004433604169E-2</v>
      </c>
      <c r="AN6" s="11">
        <v>1.8441996788324689E-2</v>
      </c>
      <c r="AO6" s="11">
        <v>5.2790805365736132E-2</v>
      </c>
      <c r="AP6" s="11">
        <v>5.2790805365736132E-2</v>
      </c>
      <c r="AQ6" s="11">
        <v>6.4293335378740796E-2</v>
      </c>
      <c r="AR6" s="11">
        <v>0.1059134214395699</v>
      </c>
      <c r="AS6" s="11">
        <v>5.7248014295685747E-2</v>
      </c>
      <c r="AT6" s="11">
        <v>8.7192541097015103E-2</v>
      </c>
      <c r="AU6" s="11">
        <v>5.7248014295685747E-2</v>
      </c>
      <c r="AV6" s="11">
        <v>2.28992057182743E-2</v>
      </c>
      <c r="AW6" s="11">
        <v>3</v>
      </c>
      <c r="AX6" s="11">
        <v>9</v>
      </c>
      <c r="AY6" s="11">
        <v>9</v>
      </c>
      <c r="AZ6" s="11">
        <v>3</v>
      </c>
      <c r="BA6" s="11">
        <v>3</v>
      </c>
      <c r="BB6" s="11">
        <v>3</v>
      </c>
      <c r="BC6" s="11">
        <v>9</v>
      </c>
      <c r="BD6" s="11">
        <v>3</v>
      </c>
      <c r="BE6" s="11">
        <v>3</v>
      </c>
      <c r="BF6" s="11">
        <v>6</v>
      </c>
      <c r="BG6" s="11">
        <v>0</v>
      </c>
      <c r="BH6" s="11">
        <v>1</v>
      </c>
      <c r="BI6" s="11">
        <v>1</v>
      </c>
      <c r="BJ6" s="11">
        <v>1</v>
      </c>
      <c r="BK6" s="11">
        <v>-2</v>
      </c>
      <c r="BL6" s="11">
        <v>-4</v>
      </c>
      <c r="BM6" s="11">
        <v>-4</v>
      </c>
      <c r="BN6" s="11">
        <v>-4</v>
      </c>
      <c r="BO6" s="11">
        <v>1</v>
      </c>
      <c r="BP6" s="11">
        <v>-3</v>
      </c>
      <c r="BQ6" s="11">
        <v>2</v>
      </c>
      <c r="BR6" s="11">
        <v>0</v>
      </c>
      <c r="BS6" s="11">
        <v>3</v>
      </c>
      <c r="BT6" s="11">
        <v>1</v>
      </c>
      <c r="BU6" s="11">
        <v>4</v>
      </c>
      <c r="BV6" s="11">
        <v>-4</v>
      </c>
      <c r="BW6" s="11">
        <v>-4</v>
      </c>
      <c r="BX6" s="11">
        <v>-4</v>
      </c>
      <c r="BY6" s="11">
        <v>-4</v>
      </c>
      <c r="BZ6" s="11">
        <v>1</v>
      </c>
      <c r="CA6" s="11">
        <v>-4</v>
      </c>
      <c r="CB6" s="11">
        <v>2</v>
      </c>
      <c r="CC6" s="11">
        <v>0</v>
      </c>
    </row>
    <row r="7" spans="1:81" x14ac:dyDescent="0.2">
      <c r="A7" t="s">
        <v>22</v>
      </c>
      <c r="B7" t="s">
        <v>23</v>
      </c>
      <c r="C7">
        <v>3072920</v>
      </c>
      <c r="D7">
        <v>6</v>
      </c>
      <c r="E7" s="11">
        <v>958827.22031899996</v>
      </c>
      <c r="F7" s="12">
        <f>paddock_data!G8</f>
        <v>10610.080012721946</v>
      </c>
      <c r="G7" s="11">
        <v>1121449.5559239681</v>
      </c>
      <c r="H7" s="11">
        <v>958827.22031899996</v>
      </c>
      <c r="I7" s="11">
        <v>1536109.346438</v>
      </c>
      <c r="J7" s="12">
        <v>1537234.3090635999</v>
      </c>
      <c r="K7" s="11">
        <v>5957629.7290636003</v>
      </c>
      <c r="L7" s="11">
        <v>959952.1829446</v>
      </c>
      <c r="M7" s="11">
        <v>959952.1829446</v>
      </c>
      <c r="N7" s="11">
        <v>1392501.923919</v>
      </c>
      <c r="O7" s="11">
        <v>0</v>
      </c>
      <c r="P7" s="11">
        <v>0.6216903970171952</v>
      </c>
      <c r="Q7" s="11">
        <v>0.2486761588068781</v>
      </c>
      <c r="R7" s="11">
        <v>0.6216903970171952</v>
      </c>
      <c r="S7" s="11">
        <v>0.6216903970171952</v>
      </c>
      <c r="T7" s="11">
        <v>0.6216903970171952</v>
      </c>
      <c r="U7" s="11">
        <v>0.6217441347384387</v>
      </c>
      <c r="V7" s="11">
        <v>0.85390777875192969</v>
      </c>
      <c r="W7" s="11">
        <v>0.6217441347384387</v>
      </c>
      <c r="X7" s="11">
        <v>0.6217441347384387</v>
      </c>
      <c r="Y7" s="11">
        <v>0</v>
      </c>
      <c r="Z7" s="11">
        <v>0</v>
      </c>
      <c r="AA7" s="11">
        <v>5.2853600765785319E-3</v>
      </c>
      <c r="AB7" s="11">
        <v>3.527731975388733E-3</v>
      </c>
      <c r="AC7" s="11">
        <v>2.9293801686496651E-3</v>
      </c>
      <c r="AD7" s="11">
        <v>6.4633500305429662E-3</v>
      </c>
      <c r="AE7" s="11">
        <v>6.4633500305429662E-3</v>
      </c>
      <c r="AF7" s="11">
        <v>7.6415931944904944E-3</v>
      </c>
      <c r="AG7" s="11">
        <v>1.226950881767846E-2</v>
      </c>
      <c r="AH7" s="11">
        <v>5.889949769822168E-3</v>
      </c>
      <c r="AI7" s="11">
        <v>9.9975731024193621E-3</v>
      </c>
      <c r="AJ7" s="11">
        <v>5.889949769822168E-3</v>
      </c>
      <c r="AK7" s="11">
        <v>2.3559799079288669E-3</v>
      </c>
      <c r="AL7" s="11">
        <v>1.752193444322233E-2</v>
      </c>
      <c r="AM7" s="11">
        <v>1.169507611788579E-2</v>
      </c>
      <c r="AN7" s="11">
        <v>9.7114305422275702E-3</v>
      </c>
      <c r="AO7" s="11">
        <v>2.142718639371971E-2</v>
      </c>
      <c r="AP7" s="11">
        <v>2.142718639371971E-2</v>
      </c>
      <c r="AQ7" s="11">
        <v>2.5333277781579899E-2</v>
      </c>
      <c r="AR7" s="11">
        <v>4.0675663727545101E-2</v>
      </c>
      <c r="AS7" s="11">
        <v>1.95262597524869E-2</v>
      </c>
      <c r="AT7" s="11">
        <v>3.3143781682574647E-2</v>
      </c>
      <c r="AU7" s="11">
        <v>1.95262597524869E-2</v>
      </c>
      <c r="AV7" s="11">
        <v>7.8105039009947613E-3</v>
      </c>
      <c r="AW7" s="11">
        <v>3</v>
      </c>
      <c r="AX7" s="11">
        <v>9</v>
      </c>
      <c r="AY7" s="11">
        <v>9</v>
      </c>
      <c r="AZ7" s="11">
        <v>3</v>
      </c>
      <c r="BA7" s="11">
        <v>3</v>
      </c>
      <c r="BB7" s="11">
        <v>3</v>
      </c>
      <c r="BC7" s="11">
        <v>9</v>
      </c>
      <c r="BD7" s="11">
        <v>3</v>
      </c>
      <c r="BE7" s="11">
        <v>3</v>
      </c>
      <c r="BF7" s="11">
        <v>6</v>
      </c>
      <c r="BG7" s="11">
        <v>0</v>
      </c>
      <c r="BH7" s="11">
        <v>1</v>
      </c>
      <c r="BI7" s="11">
        <v>1</v>
      </c>
      <c r="BJ7" s="11">
        <v>1</v>
      </c>
      <c r="BK7" s="11">
        <v>-2</v>
      </c>
      <c r="BL7" s="11">
        <v>-4</v>
      </c>
      <c r="BM7" s="11">
        <v>-4</v>
      </c>
      <c r="BN7" s="11">
        <v>-4</v>
      </c>
      <c r="BO7" s="11">
        <v>1</v>
      </c>
      <c r="BP7" s="11">
        <v>-3</v>
      </c>
      <c r="BQ7" s="11">
        <v>2</v>
      </c>
      <c r="BR7" s="11">
        <v>0</v>
      </c>
      <c r="BS7" s="11">
        <v>3</v>
      </c>
      <c r="BT7" s="11">
        <v>1</v>
      </c>
      <c r="BU7" s="11">
        <v>4</v>
      </c>
      <c r="BV7" s="11">
        <v>-4</v>
      </c>
      <c r="BW7" s="11">
        <v>-4</v>
      </c>
      <c r="BX7" s="11">
        <v>-4</v>
      </c>
      <c r="BY7" s="11">
        <v>-4</v>
      </c>
      <c r="BZ7" s="11">
        <v>1</v>
      </c>
      <c r="CA7" s="11">
        <v>-4</v>
      </c>
      <c r="CB7" s="11">
        <v>2</v>
      </c>
      <c r="CC7" s="11">
        <v>0</v>
      </c>
    </row>
    <row r="8" spans="1:81" x14ac:dyDescent="0.2">
      <c r="A8" t="s">
        <v>22</v>
      </c>
      <c r="B8" t="s">
        <v>23</v>
      </c>
      <c r="C8">
        <v>2220560</v>
      </c>
      <c r="D8">
        <v>7</v>
      </c>
      <c r="E8" s="11">
        <v>915650.33113999991</v>
      </c>
      <c r="F8" s="12">
        <f>paddock_data!G9</f>
        <v>7667.0786330427882</v>
      </c>
      <c r="G8" s="11">
        <v>1072987.498365968</v>
      </c>
      <c r="H8" s="11">
        <v>915650.33113999991</v>
      </c>
      <c r="I8" s="11">
        <v>1468701.42848</v>
      </c>
      <c r="J8" s="12">
        <v>1475524.09136</v>
      </c>
      <c r="K8" s="11">
        <v>4669799.6513599996</v>
      </c>
      <c r="L8" s="11">
        <v>922472.99401999987</v>
      </c>
      <c r="M8" s="11">
        <v>922472.99401999987</v>
      </c>
      <c r="N8" s="11">
        <v>1128842.97114</v>
      </c>
      <c r="O8" s="11">
        <v>0</v>
      </c>
      <c r="P8" s="11">
        <v>0.66739252717525432</v>
      </c>
      <c r="Q8" s="11">
        <v>0.26695701087010171</v>
      </c>
      <c r="R8" s="11">
        <v>0.66739252717525432</v>
      </c>
      <c r="S8" s="11">
        <v>0.66739252717525432</v>
      </c>
      <c r="T8" s="11">
        <v>0.66739252717525432</v>
      </c>
      <c r="U8" s="11">
        <v>0.66739249554227487</v>
      </c>
      <c r="V8" s="11">
        <v>0.9240034218979255</v>
      </c>
      <c r="W8" s="11">
        <v>0.66739249554227487</v>
      </c>
      <c r="X8" s="11">
        <v>0.66739249554227487</v>
      </c>
      <c r="Y8" s="11">
        <v>0</v>
      </c>
      <c r="Z8" s="11">
        <v>0</v>
      </c>
      <c r="AA8" s="11">
        <v>2.566996449445123E-2</v>
      </c>
      <c r="AB8" s="11">
        <v>1.6864729539981319E-2</v>
      </c>
      <c r="AC8" s="11">
        <v>1.4675391590783189E-2</v>
      </c>
      <c r="AD8" s="11">
        <v>3.1167250946285259E-2</v>
      </c>
      <c r="AE8" s="11">
        <v>3.1167250946285259E-2</v>
      </c>
      <c r="AF8" s="11">
        <v>3.6664536702537082E-2</v>
      </c>
      <c r="AG8" s="11">
        <v>5.8799051133429127E-2</v>
      </c>
      <c r="AH8" s="11">
        <v>2.7486432259170121E-2</v>
      </c>
      <c r="AI8" s="11">
        <v>4.7659109606205133E-2</v>
      </c>
      <c r="AJ8" s="11">
        <v>2.7486432259170121E-2</v>
      </c>
      <c r="AK8" s="11">
        <v>1.0994572903668049E-2</v>
      </c>
      <c r="AL8" s="11">
        <v>1.2499800855255171E-2</v>
      </c>
      <c r="AM8" s="11">
        <v>8.2121563032575631E-3</v>
      </c>
      <c r="AN8" s="11">
        <v>7.1460742533293346E-3</v>
      </c>
      <c r="AO8" s="11">
        <v>1.517666415621808E-2</v>
      </c>
      <c r="AP8" s="11">
        <v>1.517666415621808E-2</v>
      </c>
      <c r="AQ8" s="11">
        <v>1.7853527118472351E-2</v>
      </c>
      <c r="AR8" s="11">
        <v>2.8631766506911249E-2</v>
      </c>
      <c r="AS8" s="11">
        <v>1.3384316504814579E-2</v>
      </c>
      <c r="AT8" s="11">
        <v>2.3207253720398179E-2</v>
      </c>
      <c r="AU8" s="11">
        <v>1.3384316504814579E-2</v>
      </c>
      <c r="AV8" s="11">
        <v>5.3537266019258309E-3</v>
      </c>
      <c r="AW8" s="11">
        <v>3</v>
      </c>
      <c r="AX8" s="11">
        <v>9</v>
      </c>
      <c r="AY8" s="11">
        <v>9</v>
      </c>
      <c r="AZ8" s="11">
        <v>3</v>
      </c>
      <c r="BA8" s="11">
        <v>3</v>
      </c>
      <c r="BB8" s="11">
        <v>3</v>
      </c>
      <c r="BC8" s="11">
        <v>9</v>
      </c>
      <c r="BD8" s="11">
        <v>3</v>
      </c>
      <c r="BE8" s="11">
        <v>3</v>
      </c>
      <c r="BF8" s="11">
        <v>6</v>
      </c>
      <c r="BG8" s="11">
        <v>0</v>
      </c>
      <c r="BH8" s="11">
        <v>1</v>
      </c>
      <c r="BI8" s="11">
        <v>1</v>
      </c>
      <c r="BJ8" s="11">
        <v>1</v>
      </c>
      <c r="BK8" s="11">
        <v>-2</v>
      </c>
      <c r="BL8" s="11">
        <v>-4</v>
      </c>
      <c r="BM8" s="11">
        <v>-4</v>
      </c>
      <c r="BN8" s="11">
        <v>-4</v>
      </c>
      <c r="BO8" s="11">
        <v>1</v>
      </c>
      <c r="BP8" s="11">
        <v>-3</v>
      </c>
      <c r="BQ8" s="11">
        <v>2</v>
      </c>
      <c r="BR8" s="11">
        <v>0</v>
      </c>
      <c r="BS8" s="11">
        <v>3</v>
      </c>
      <c r="BT8" s="11">
        <v>1</v>
      </c>
      <c r="BU8" s="11">
        <v>4</v>
      </c>
      <c r="BV8" s="11">
        <v>-4</v>
      </c>
      <c r="BW8" s="11">
        <v>-4</v>
      </c>
      <c r="BX8" s="11">
        <v>-4</v>
      </c>
      <c r="BY8" s="11">
        <v>-4</v>
      </c>
      <c r="BZ8" s="11">
        <v>1</v>
      </c>
      <c r="CA8" s="11">
        <v>-4</v>
      </c>
      <c r="CB8" s="11">
        <v>2</v>
      </c>
      <c r="CC8" s="11">
        <v>0</v>
      </c>
    </row>
    <row r="9" spans="1:81" x14ac:dyDescent="0.2">
      <c r="A9" t="s">
        <v>22</v>
      </c>
      <c r="B9" t="s">
        <v>23</v>
      </c>
      <c r="C9">
        <v>1492830</v>
      </c>
      <c r="D9">
        <v>8</v>
      </c>
      <c r="E9" s="11">
        <v>703316.80284100003</v>
      </c>
      <c r="F9" s="12">
        <f>paddock_data!G10</f>
        <v>5154.3957361049761</v>
      </c>
      <c r="G9" s="11">
        <v>834662.7865679682</v>
      </c>
      <c r="H9" s="11">
        <v>703316.80284100003</v>
      </c>
      <c r="I9" s="11">
        <v>1137205.544282</v>
      </c>
      <c r="J9" s="12">
        <v>1177552.766202</v>
      </c>
      <c r="K9" s="11">
        <v>3324988.721202</v>
      </c>
      <c r="L9" s="11">
        <v>743664.02476100007</v>
      </c>
      <c r="M9" s="11">
        <v>743664.02476100007</v>
      </c>
      <c r="N9" s="11">
        <v>805261.258241</v>
      </c>
      <c r="O9" s="11">
        <v>0</v>
      </c>
      <c r="P9" s="11">
        <v>0.5236991159862403</v>
      </c>
      <c r="Q9" s="11">
        <v>0.20947964639449601</v>
      </c>
      <c r="R9" s="11">
        <v>0.5236991159862403</v>
      </c>
      <c r="S9" s="11">
        <v>0.5236991159862403</v>
      </c>
      <c r="T9" s="11">
        <v>0.5236991159862403</v>
      </c>
      <c r="U9" s="11">
        <v>0.52537476045100939</v>
      </c>
      <c r="V9" s="11">
        <v>0.73784155649246397</v>
      </c>
      <c r="W9" s="11">
        <v>0.52537476045100939</v>
      </c>
      <c r="X9" s="11">
        <v>0.52537476045100939</v>
      </c>
      <c r="Y9" s="11">
        <v>0</v>
      </c>
      <c r="Z9" s="11">
        <v>0</v>
      </c>
      <c r="AA9" s="11">
        <v>0.17365064753002499</v>
      </c>
      <c r="AB9" s="11">
        <v>0.1203494250232735</v>
      </c>
      <c r="AC9" s="11">
        <v>8.8835370844585787E-2</v>
      </c>
      <c r="AD9" s="11">
        <v>0.21605828587274459</v>
      </c>
      <c r="AE9" s="11">
        <v>0.21605828587274459</v>
      </c>
      <c r="AF9" s="11">
        <v>0.25875016471327589</v>
      </c>
      <c r="AG9" s="11">
        <v>0.42201393992688419</v>
      </c>
      <c r="AH9" s="11">
        <v>0.21203819171359811</v>
      </c>
      <c r="AI9" s="11">
        <v>0.34356544139871509</v>
      </c>
      <c r="AJ9" s="11">
        <v>0.21203819171359811</v>
      </c>
      <c r="AK9" s="11">
        <v>8.4815276685439228E-2</v>
      </c>
      <c r="AL9" s="11">
        <v>2.965598677374648E-3</v>
      </c>
      <c r="AM9" s="11">
        <v>2.0553225729268202E-3</v>
      </c>
      <c r="AN9" s="11">
        <v>1.51712684074638E-3</v>
      </c>
      <c r="AO9" s="11">
        <v>3.6898345956887821E-3</v>
      </c>
      <c r="AP9" s="11">
        <v>3.6898345956887821E-3</v>
      </c>
      <c r="AQ9" s="11">
        <v>4.4189247616337564E-3</v>
      </c>
      <c r="AR9" s="11">
        <v>7.207136857145538E-3</v>
      </c>
      <c r="AS9" s="11">
        <v>3.62117959157067E-3</v>
      </c>
      <c r="AT9" s="11">
        <v>5.8673965982620254E-3</v>
      </c>
      <c r="AU9" s="11">
        <v>3.62117959157067E-3</v>
      </c>
      <c r="AV9" s="11">
        <v>1.448471836628268E-3</v>
      </c>
      <c r="AW9" s="11">
        <v>3</v>
      </c>
      <c r="AX9" s="11">
        <v>9</v>
      </c>
      <c r="AY9" s="11">
        <v>9</v>
      </c>
      <c r="AZ9" s="11">
        <v>3</v>
      </c>
      <c r="BA9" s="11">
        <v>3</v>
      </c>
      <c r="BB9" s="11">
        <v>3</v>
      </c>
      <c r="BC9" s="11">
        <v>9</v>
      </c>
      <c r="BD9" s="11">
        <v>3</v>
      </c>
      <c r="BE9" s="11">
        <v>3</v>
      </c>
      <c r="BF9" s="11">
        <v>6</v>
      </c>
      <c r="BG9" s="11">
        <v>0</v>
      </c>
      <c r="BH9" s="11">
        <v>1</v>
      </c>
      <c r="BI9" s="11">
        <v>1</v>
      </c>
      <c r="BJ9" s="11">
        <v>1</v>
      </c>
      <c r="BK9" s="11">
        <v>-2</v>
      </c>
      <c r="BL9" s="11">
        <v>-4</v>
      </c>
      <c r="BM9" s="11">
        <v>-4</v>
      </c>
      <c r="BN9" s="11">
        <v>-4</v>
      </c>
      <c r="BO9" s="11">
        <v>1</v>
      </c>
      <c r="BP9" s="11">
        <v>-3</v>
      </c>
      <c r="BQ9" s="11">
        <v>2</v>
      </c>
      <c r="BR9" s="11">
        <v>0</v>
      </c>
      <c r="BS9" s="11">
        <v>3</v>
      </c>
      <c r="BT9" s="11">
        <v>1</v>
      </c>
      <c r="BU9" s="11">
        <v>4</v>
      </c>
      <c r="BV9" s="11">
        <v>-4</v>
      </c>
      <c r="BW9" s="11">
        <v>-4</v>
      </c>
      <c r="BX9" s="11">
        <v>-4</v>
      </c>
      <c r="BY9" s="11">
        <v>-4</v>
      </c>
      <c r="BZ9" s="11">
        <v>1</v>
      </c>
      <c r="CA9" s="11">
        <v>-4</v>
      </c>
      <c r="CB9" s="11">
        <v>2</v>
      </c>
      <c r="CC9" s="11">
        <v>0</v>
      </c>
    </row>
    <row r="10" spans="1:81" x14ac:dyDescent="0.2">
      <c r="A10" t="s">
        <v>22</v>
      </c>
      <c r="B10" t="s">
        <v>23</v>
      </c>
      <c r="C10">
        <v>1715970</v>
      </c>
      <c r="D10">
        <v>9</v>
      </c>
      <c r="E10" s="11">
        <v>827824.478474</v>
      </c>
      <c r="F10" s="12">
        <f>paddock_data!G11</f>
        <v>5924.8463999812802</v>
      </c>
      <c r="G10" s="11">
        <v>974411.11623396806</v>
      </c>
      <c r="H10" s="11">
        <v>827824.478474</v>
      </c>
      <c r="I10" s="11">
        <v>1331587.384748</v>
      </c>
      <c r="J10" s="12">
        <v>1427781.398028</v>
      </c>
      <c r="K10" s="11">
        <v>3896204.243028</v>
      </c>
      <c r="L10" s="11">
        <v>924018.49175400008</v>
      </c>
      <c r="M10" s="11">
        <v>924018.49175400008</v>
      </c>
      <c r="N10" s="11">
        <v>937815.44907399989</v>
      </c>
      <c r="O10" s="11">
        <v>0</v>
      </c>
      <c r="P10" s="11">
        <v>0.33127441275605152</v>
      </c>
      <c r="Q10" s="11">
        <v>0.1325097651024206</v>
      </c>
      <c r="R10" s="11">
        <v>0.33127441275605152</v>
      </c>
      <c r="S10" s="11">
        <v>0.33127441275605152</v>
      </c>
      <c r="T10" s="11">
        <v>0.33127441275605152</v>
      </c>
      <c r="U10" s="11">
        <v>0.33501021050603552</v>
      </c>
      <c r="V10" s="11">
        <v>0.44544053652414078</v>
      </c>
      <c r="W10" s="11">
        <v>0.33501021050603552</v>
      </c>
      <c r="X10" s="11">
        <v>0.33501021050603552</v>
      </c>
      <c r="Y10" s="11">
        <v>0</v>
      </c>
      <c r="Z10" s="11">
        <v>0</v>
      </c>
      <c r="AA10" s="11">
        <v>0.37863672412286759</v>
      </c>
      <c r="AB10" s="11">
        <v>0.28810152430902131</v>
      </c>
      <c r="AC10" s="11">
        <v>0.15089199968974379</v>
      </c>
      <c r="AD10" s="11">
        <v>0.49250908633942958</v>
      </c>
      <c r="AE10" s="11">
        <v>0.49250908633942958</v>
      </c>
      <c r="AF10" s="11">
        <v>0.60808306501420739</v>
      </c>
      <c r="AG10" s="11">
        <v>1</v>
      </c>
      <c r="AH10" s="11">
        <v>0.56936181108280959</v>
      </c>
      <c r="AI10" s="11">
        <v>0.83582778944733127</v>
      </c>
      <c r="AJ10" s="11">
        <v>0.56936181108280959</v>
      </c>
      <c r="AK10" s="11">
        <v>0.22774472443312391</v>
      </c>
      <c r="AL10" s="11">
        <v>3.376103726819378E-2</v>
      </c>
      <c r="AM10" s="11">
        <v>2.568849157923736E-2</v>
      </c>
      <c r="AN10" s="11">
        <v>1.3454242814927349E-2</v>
      </c>
      <c r="AO10" s="11">
        <v>4.3914434494826987E-2</v>
      </c>
      <c r="AP10" s="11">
        <v>4.3914434494826987E-2</v>
      </c>
      <c r="AQ10" s="11">
        <v>5.4219555875516003E-2</v>
      </c>
      <c r="AR10" s="11">
        <v>8.9164719419129346E-2</v>
      </c>
      <c r="AS10" s="11">
        <v>5.0766986133166048E-2</v>
      </c>
      <c r="AT10" s="11">
        <v>7.4526350328782423E-2</v>
      </c>
      <c r="AU10" s="11">
        <v>5.0766986133166048E-2</v>
      </c>
      <c r="AV10" s="11">
        <v>2.030679445326642E-2</v>
      </c>
      <c r="AW10" s="11">
        <v>3</v>
      </c>
      <c r="AX10" s="11">
        <v>9</v>
      </c>
      <c r="AY10" s="11">
        <v>9</v>
      </c>
      <c r="AZ10" s="11">
        <v>3</v>
      </c>
      <c r="BA10" s="11">
        <v>3</v>
      </c>
      <c r="BB10" s="11">
        <v>3</v>
      </c>
      <c r="BC10" s="11">
        <v>9</v>
      </c>
      <c r="BD10" s="11">
        <v>3</v>
      </c>
      <c r="BE10" s="11">
        <v>3</v>
      </c>
      <c r="BF10" s="11">
        <v>6</v>
      </c>
      <c r="BG10" s="11">
        <v>0</v>
      </c>
      <c r="BH10" s="11">
        <v>1</v>
      </c>
      <c r="BI10" s="11">
        <v>1</v>
      </c>
      <c r="BJ10" s="11">
        <v>1</v>
      </c>
      <c r="BK10" s="11">
        <v>-2</v>
      </c>
      <c r="BL10" s="11">
        <v>-4</v>
      </c>
      <c r="BM10" s="11">
        <v>-4</v>
      </c>
      <c r="BN10" s="11">
        <v>-4</v>
      </c>
      <c r="BO10" s="11">
        <v>1</v>
      </c>
      <c r="BP10" s="11">
        <v>-3</v>
      </c>
      <c r="BQ10" s="11">
        <v>2</v>
      </c>
      <c r="BR10" s="11">
        <v>0</v>
      </c>
      <c r="BS10" s="11">
        <v>3</v>
      </c>
      <c r="BT10" s="11">
        <v>1</v>
      </c>
      <c r="BU10" s="11">
        <v>4</v>
      </c>
      <c r="BV10" s="11">
        <v>-4</v>
      </c>
      <c r="BW10" s="11">
        <v>-4</v>
      </c>
      <c r="BX10" s="11">
        <v>-4</v>
      </c>
      <c r="BY10" s="11">
        <v>-4</v>
      </c>
      <c r="BZ10" s="11">
        <v>1</v>
      </c>
      <c r="CA10" s="11">
        <v>-4</v>
      </c>
      <c r="CB10" s="11">
        <v>2</v>
      </c>
      <c r="CC10" s="11">
        <v>0</v>
      </c>
    </row>
    <row r="11" spans="1:81" x14ac:dyDescent="0.2">
      <c r="A11" t="s">
        <v>22</v>
      </c>
      <c r="B11" t="s">
        <v>23</v>
      </c>
      <c r="C11">
        <v>1513710</v>
      </c>
      <c r="D11">
        <v>10</v>
      </c>
      <c r="E11" s="11">
        <v>847549.74657600001</v>
      </c>
      <c r="F11" s="12">
        <f>paddock_data!G12</f>
        <v>5226.4895331011994</v>
      </c>
      <c r="G11" s="11">
        <v>996550.90203796828</v>
      </c>
      <c r="H11" s="11">
        <v>847549.74657600001</v>
      </c>
      <c r="I11" s="11">
        <v>1362382.5457520001</v>
      </c>
      <c r="J11" s="12">
        <v>1362987.6151688001</v>
      </c>
      <c r="K11" s="11">
        <v>3540459.4501688001</v>
      </c>
      <c r="L11" s="11">
        <v>848154.81599280005</v>
      </c>
      <c r="M11" s="11">
        <v>848154.81599280005</v>
      </c>
      <c r="N11" s="11">
        <v>892070.50797600008</v>
      </c>
      <c r="O11" s="11">
        <v>0</v>
      </c>
      <c r="P11" s="11">
        <v>0.26381935452677352</v>
      </c>
      <c r="Q11" s="11">
        <v>0.1055277418107094</v>
      </c>
      <c r="R11" s="11">
        <v>0.26381935452677352</v>
      </c>
      <c r="S11" s="11">
        <v>0.26381935452677352</v>
      </c>
      <c r="T11" s="11">
        <v>0.26381935452677352</v>
      </c>
      <c r="U11" s="11">
        <v>0.26605521191754838</v>
      </c>
      <c r="V11" s="11">
        <v>0.34394246718902882</v>
      </c>
      <c r="W11" s="11">
        <v>0.26605521191754838</v>
      </c>
      <c r="X11" s="11">
        <v>0.26605521191754838</v>
      </c>
      <c r="Y11" s="11">
        <v>0</v>
      </c>
      <c r="Z11" s="11">
        <v>0</v>
      </c>
      <c r="AA11" s="11">
        <v>1.1996953683681829E-3</v>
      </c>
      <c r="AB11" s="11">
        <v>9.5107412893304663E-4</v>
      </c>
      <c r="AC11" s="11">
        <v>4.1436873239189412E-4</v>
      </c>
      <c r="AD11" s="11">
        <v>1.592358686356328E-3</v>
      </c>
      <c r="AE11" s="11">
        <v>1.592358686356328E-3</v>
      </c>
      <c r="AF11" s="11">
        <v>1.9885337610709118E-3</v>
      </c>
      <c r="AG11" s="11">
        <v>3.288857587370902E-3</v>
      </c>
      <c r="AH11" s="11">
        <v>1.9633165899407231E-3</v>
      </c>
      <c r="AI11" s="11">
        <v>2.7738603970472011E-3</v>
      </c>
      <c r="AJ11" s="11">
        <v>1.9633165899407231E-3</v>
      </c>
      <c r="AK11" s="11">
        <v>7.8532663597628914E-4</v>
      </c>
      <c r="AL11" s="11">
        <v>5.3168454039354369E-3</v>
      </c>
      <c r="AM11" s="11">
        <v>4.2149984442281154E-3</v>
      </c>
      <c r="AN11" s="11">
        <v>1.836411599512201E-3</v>
      </c>
      <c r="AO11" s="11">
        <v>7.0570623061470541E-3</v>
      </c>
      <c r="AP11" s="11">
        <v>7.0570623061470541E-3</v>
      </c>
      <c r="AQ11" s="11">
        <v>8.8128427156481167E-3</v>
      </c>
      <c r="AR11" s="11">
        <v>1.457565629464417E-2</v>
      </c>
      <c r="AS11" s="11">
        <v>8.7010845110580878E-3</v>
      </c>
      <c r="AT11" s="11">
        <v>1.2293276520071349E-2</v>
      </c>
      <c r="AU11" s="11">
        <v>8.7010845110580878E-3</v>
      </c>
      <c r="AV11" s="11">
        <v>3.4804338044232348E-3</v>
      </c>
      <c r="AW11" s="11">
        <v>3</v>
      </c>
      <c r="AX11" s="11">
        <v>9</v>
      </c>
      <c r="AY11" s="11">
        <v>9</v>
      </c>
      <c r="AZ11" s="11">
        <v>3</v>
      </c>
      <c r="BA11" s="11">
        <v>3</v>
      </c>
      <c r="BB11" s="11">
        <v>3</v>
      </c>
      <c r="BC11" s="11">
        <v>9</v>
      </c>
      <c r="BD11" s="11">
        <v>3</v>
      </c>
      <c r="BE11" s="11">
        <v>3</v>
      </c>
      <c r="BF11" s="11">
        <v>6</v>
      </c>
      <c r="BG11" s="11">
        <v>0</v>
      </c>
      <c r="BH11" s="11">
        <v>1</v>
      </c>
      <c r="BI11" s="11">
        <v>1</v>
      </c>
      <c r="BJ11" s="11">
        <v>1</v>
      </c>
      <c r="BK11" s="11">
        <v>-2</v>
      </c>
      <c r="BL11" s="11">
        <v>-4</v>
      </c>
      <c r="BM11" s="11">
        <v>-4</v>
      </c>
      <c r="BN11" s="11">
        <v>-4</v>
      </c>
      <c r="BO11" s="11">
        <v>1</v>
      </c>
      <c r="BP11" s="11">
        <v>-3</v>
      </c>
      <c r="BQ11" s="11">
        <v>2</v>
      </c>
      <c r="BR11" s="11">
        <v>0</v>
      </c>
      <c r="BS11" s="11">
        <v>3</v>
      </c>
      <c r="BT11" s="11">
        <v>1</v>
      </c>
      <c r="BU11" s="11">
        <v>4</v>
      </c>
      <c r="BV11" s="11">
        <v>-4</v>
      </c>
      <c r="BW11" s="11">
        <v>-4</v>
      </c>
      <c r="BX11" s="11">
        <v>-4</v>
      </c>
      <c r="BY11" s="11">
        <v>-4</v>
      </c>
      <c r="BZ11" s="11">
        <v>1</v>
      </c>
      <c r="CA11" s="11">
        <v>-4</v>
      </c>
      <c r="CB11" s="11">
        <v>2</v>
      </c>
      <c r="CC11" s="11">
        <v>0</v>
      </c>
    </row>
    <row r="12" spans="1:81" x14ac:dyDescent="0.2">
      <c r="A12" t="s">
        <v>22</v>
      </c>
      <c r="B12" t="s">
        <v>24</v>
      </c>
      <c r="C12">
        <v>1680430</v>
      </c>
      <c r="D12">
        <v>11</v>
      </c>
      <c r="E12" s="11">
        <v>729595.175927</v>
      </c>
      <c r="F12" s="12">
        <f>paddock_data!G13</f>
        <v>5802.1350232932646</v>
      </c>
      <c r="G12" s="11">
        <v>864157.82553996821</v>
      </c>
      <c r="H12" s="11">
        <v>729595.175927</v>
      </c>
      <c r="I12" s="11">
        <v>1178231.436854</v>
      </c>
      <c r="J12" s="12">
        <v>1179441.5803179999</v>
      </c>
      <c r="K12" s="11">
        <v>3596740.1353179989</v>
      </c>
      <c r="L12" s="11">
        <v>730805.31939099997</v>
      </c>
      <c r="M12" s="11">
        <v>730805.31939099997</v>
      </c>
      <c r="N12" s="11">
        <v>872705.61772700003</v>
      </c>
      <c r="O12" s="11">
        <v>0</v>
      </c>
      <c r="P12" s="11">
        <v>0.1519863742329976</v>
      </c>
      <c r="Q12" s="11">
        <v>6.0794549693199022E-2</v>
      </c>
      <c r="R12" s="11">
        <v>0.1519863742329976</v>
      </c>
      <c r="S12" s="11">
        <v>0.1519863742329976</v>
      </c>
      <c r="T12" s="11">
        <v>0.1519863742329976</v>
      </c>
      <c r="U12" s="11">
        <v>0.15208305202457839</v>
      </c>
      <c r="V12" s="11">
        <v>0.155347091358707</v>
      </c>
      <c r="W12" s="11">
        <v>0.15208305202457839</v>
      </c>
      <c r="X12" s="11">
        <v>0.15208305202457839</v>
      </c>
      <c r="Y12" s="11">
        <v>0</v>
      </c>
      <c r="Z12" s="11">
        <v>0</v>
      </c>
      <c r="AA12" s="11">
        <v>2.0480890639151118E-3</v>
      </c>
      <c r="AB12" s="11">
        <v>1.761627588737591E-3</v>
      </c>
      <c r="AC12" s="11">
        <v>4.7743579196253338E-4</v>
      </c>
      <c r="AD12" s="11">
        <v>2.8334156998914011E-3</v>
      </c>
      <c r="AE12" s="11">
        <v>2.8334156998914011E-3</v>
      </c>
      <c r="AF12" s="11">
        <v>3.6190460304470328E-3</v>
      </c>
      <c r="AG12" s="11">
        <v>5.9852792864957616E-3</v>
      </c>
      <c r="AH12" s="11">
        <v>3.9266331798814454E-3</v>
      </c>
      <c r="AI12" s="11">
        <v>5.1896993023996113E-3</v>
      </c>
      <c r="AJ12" s="11">
        <v>3.9266331798814454E-3</v>
      </c>
      <c r="AK12" s="11">
        <v>1.5706532719525781E-3</v>
      </c>
      <c r="AL12" s="11">
        <v>3.2702594380704428E-4</v>
      </c>
      <c r="AM12" s="11">
        <v>2.8128558225010689E-4</v>
      </c>
      <c r="AN12" s="11">
        <v>7.6233935928229002E-5</v>
      </c>
      <c r="AO12" s="11">
        <v>4.5242194774645201E-4</v>
      </c>
      <c r="AP12" s="11">
        <v>4.5242194774645201E-4</v>
      </c>
      <c r="AQ12" s="11">
        <v>5.7786644372079525E-4</v>
      </c>
      <c r="AR12" s="11">
        <v>9.5569164549582134E-4</v>
      </c>
      <c r="AS12" s="11">
        <v>6.2698001969703813E-4</v>
      </c>
      <c r="AT12" s="11">
        <v>8.2865845159961048E-4</v>
      </c>
      <c r="AU12" s="11">
        <v>6.2698001969703813E-4</v>
      </c>
      <c r="AV12" s="11">
        <v>2.5079200787881528E-4</v>
      </c>
      <c r="AW12" s="11">
        <v>1</v>
      </c>
      <c r="AX12" s="11">
        <v>3</v>
      </c>
      <c r="AY12" s="11">
        <v>3</v>
      </c>
      <c r="AZ12" s="11">
        <v>1</v>
      </c>
      <c r="BA12" s="11">
        <v>1</v>
      </c>
      <c r="BB12" s="11">
        <v>1</v>
      </c>
      <c r="BC12" s="11">
        <v>3</v>
      </c>
      <c r="BD12" s="11">
        <v>1</v>
      </c>
      <c r="BE12" s="11">
        <v>1</v>
      </c>
      <c r="BF12" s="11">
        <v>2</v>
      </c>
      <c r="BG12" s="11">
        <v>0</v>
      </c>
      <c r="BH12" s="11">
        <v>2</v>
      </c>
      <c r="BI12" s="11">
        <v>2</v>
      </c>
      <c r="BJ12" s="11">
        <v>2</v>
      </c>
      <c r="BK12" s="11">
        <v>-4</v>
      </c>
      <c r="BL12" s="11">
        <v>-8</v>
      </c>
      <c r="BM12" s="11">
        <v>-8</v>
      </c>
      <c r="BN12" s="11">
        <v>-8</v>
      </c>
      <c r="BO12" s="11">
        <v>2</v>
      </c>
      <c r="BP12" s="11">
        <v>-6</v>
      </c>
      <c r="BQ12" s="11">
        <v>4</v>
      </c>
      <c r="BR12" s="11">
        <v>0</v>
      </c>
      <c r="BS12" s="11">
        <v>6</v>
      </c>
      <c r="BT12" s="11">
        <v>2</v>
      </c>
      <c r="BU12" s="11">
        <v>8</v>
      </c>
      <c r="BV12" s="11">
        <v>-8</v>
      </c>
      <c r="BW12" s="11">
        <v>-8</v>
      </c>
      <c r="BX12" s="11">
        <v>-8</v>
      </c>
      <c r="BY12" s="11">
        <v>-8</v>
      </c>
      <c r="BZ12" s="11">
        <v>2</v>
      </c>
      <c r="CA12" s="11">
        <v>-8</v>
      </c>
      <c r="CB12" s="11">
        <v>4</v>
      </c>
      <c r="CC12" s="11">
        <v>0</v>
      </c>
    </row>
    <row r="13" spans="1:81" x14ac:dyDescent="0.2">
      <c r="A13" t="s">
        <v>22</v>
      </c>
      <c r="B13" t="s">
        <v>24</v>
      </c>
      <c r="C13">
        <v>2169210</v>
      </c>
      <c r="D13">
        <v>12</v>
      </c>
      <c r="E13" s="11">
        <v>823798.69819799997</v>
      </c>
      <c r="F13" s="12">
        <f>paddock_data!G14</f>
        <v>7489.7789933992981</v>
      </c>
      <c r="G13" s="11">
        <v>969892.55088196823</v>
      </c>
      <c r="H13" s="11">
        <v>823798.69819799997</v>
      </c>
      <c r="I13" s="11">
        <v>1325302.321796</v>
      </c>
      <c r="J13" s="12">
        <v>1326785.89038</v>
      </c>
      <c r="K13" s="11">
        <v>4447194.4753799997</v>
      </c>
      <c r="L13" s="11">
        <v>825282.26678199996</v>
      </c>
      <c r="M13" s="11">
        <v>825282.26678199996</v>
      </c>
      <c r="N13" s="11">
        <v>1062871.2823979999</v>
      </c>
      <c r="O13" s="11">
        <v>0</v>
      </c>
      <c r="P13" s="11">
        <v>0.27049804947012529</v>
      </c>
      <c r="Q13" s="11">
        <v>0.1081992197880501</v>
      </c>
      <c r="R13" s="11">
        <v>0.27049804947012529</v>
      </c>
      <c r="S13" s="11">
        <v>0.27049804947012529</v>
      </c>
      <c r="T13" s="11">
        <v>0.27049804947012529</v>
      </c>
      <c r="U13" s="11">
        <v>0.27052037993369932</v>
      </c>
      <c r="V13" s="11">
        <v>0.31488215293812022</v>
      </c>
      <c r="W13" s="11">
        <v>0.27052037993369932</v>
      </c>
      <c r="X13" s="11">
        <v>0.27052037993369932</v>
      </c>
      <c r="Y13" s="11">
        <v>0</v>
      </c>
      <c r="Z13" s="11">
        <v>0</v>
      </c>
      <c r="AA13" s="11">
        <v>3.02546320608333E-3</v>
      </c>
      <c r="AB13" s="11">
        <v>2.3881752363977648E-3</v>
      </c>
      <c r="AC13" s="11">
        <v>1.0621466161426069E-3</v>
      </c>
      <c r="AD13" s="11">
        <v>4.0071215010536896E-3</v>
      </c>
      <c r="AE13" s="11">
        <v>4.0071215010536896E-3</v>
      </c>
      <c r="AF13" s="11">
        <v>4.9888674795632434E-3</v>
      </c>
      <c r="AG13" s="11">
        <v>8.1080347742718568E-3</v>
      </c>
      <c r="AH13" s="11">
        <v>4.9082914748518067E-3</v>
      </c>
      <c r="AI13" s="11">
        <v>6.9521840695039661E-3</v>
      </c>
      <c r="AJ13" s="11">
        <v>4.9082914748518067E-3</v>
      </c>
      <c r="AK13" s="11">
        <v>1.9633165899407231E-3</v>
      </c>
      <c r="AL13" s="11">
        <v>2.9447072248924792E-2</v>
      </c>
      <c r="AM13" s="11">
        <v>2.3244298125290469E-2</v>
      </c>
      <c r="AN13" s="11">
        <v>1.0337956872723861E-2</v>
      </c>
      <c r="AO13" s="11">
        <v>3.9001629937025252E-2</v>
      </c>
      <c r="AP13" s="11">
        <v>3.9001629937025252E-2</v>
      </c>
      <c r="AQ13" s="11">
        <v>4.855704105593539E-2</v>
      </c>
      <c r="AR13" s="11">
        <v>7.8916142597505415E-2</v>
      </c>
      <c r="AS13" s="11">
        <v>4.7772788440502312E-2</v>
      </c>
      <c r="AT13" s="11">
        <v>6.7666156432136318E-2</v>
      </c>
      <c r="AU13" s="11">
        <v>4.7772788440502312E-2</v>
      </c>
      <c r="AV13" s="11">
        <v>1.9109115376200931E-2</v>
      </c>
      <c r="AW13" s="11">
        <v>1</v>
      </c>
      <c r="AX13" s="11">
        <v>3</v>
      </c>
      <c r="AY13" s="11">
        <v>3</v>
      </c>
      <c r="AZ13" s="11">
        <v>1</v>
      </c>
      <c r="BA13" s="11">
        <v>1</v>
      </c>
      <c r="BB13" s="11">
        <v>1</v>
      </c>
      <c r="BC13" s="11">
        <v>3</v>
      </c>
      <c r="BD13" s="11">
        <v>1</v>
      </c>
      <c r="BE13" s="11">
        <v>1</v>
      </c>
      <c r="BF13" s="11">
        <v>2</v>
      </c>
      <c r="BG13" s="11">
        <v>0</v>
      </c>
      <c r="BH13" s="11">
        <v>2</v>
      </c>
      <c r="BI13" s="11">
        <v>2</v>
      </c>
      <c r="BJ13" s="11">
        <v>2</v>
      </c>
      <c r="BK13" s="11">
        <v>-4</v>
      </c>
      <c r="BL13" s="11">
        <v>-8</v>
      </c>
      <c r="BM13" s="11">
        <v>-8</v>
      </c>
      <c r="BN13" s="11">
        <v>-8</v>
      </c>
      <c r="BO13" s="11">
        <v>2</v>
      </c>
      <c r="BP13" s="11">
        <v>-6</v>
      </c>
      <c r="BQ13" s="11">
        <v>4</v>
      </c>
      <c r="BR13" s="11">
        <v>0</v>
      </c>
      <c r="BS13" s="11">
        <v>6</v>
      </c>
      <c r="BT13" s="11">
        <v>2</v>
      </c>
      <c r="BU13" s="11">
        <v>8</v>
      </c>
      <c r="BV13" s="11">
        <v>-8</v>
      </c>
      <c r="BW13" s="11">
        <v>-8</v>
      </c>
      <c r="BX13" s="11">
        <v>-8</v>
      </c>
      <c r="BY13" s="11">
        <v>-8</v>
      </c>
      <c r="BZ13" s="11">
        <v>2</v>
      </c>
      <c r="CA13" s="11">
        <v>-8</v>
      </c>
      <c r="CB13" s="11">
        <v>4</v>
      </c>
      <c r="CC13" s="11">
        <v>0</v>
      </c>
    </row>
    <row r="14" spans="1:81" x14ac:dyDescent="0.2">
      <c r="A14" t="s">
        <v>22</v>
      </c>
      <c r="B14" t="s">
        <v>24</v>
      </c>
      <c r="C14">
        <v>1834730</v>
      </c>
      <c r="D14">
        <v>13</v>
      </c>
      <c r="E14" s="12">
        <v>754935.69521999988</v>
      </c>
      <c r="F14" s="12">
        <f>paddock_data!G15</f>
        <v>6334.897134237578</v>
      </c>
      <c r="G14" s="12">
        <v>892600.21052596811</v>
      </c>
      <c r="H14" s="12">
        <v>754935.69521999988</v>
      </c>
      <c r="I14" s="12">
        <v>1217793.14864</v>
      </c>
      <c r="J14" s="12">
        <v>1218095.6839272</v>
      </c>
      <c r="K14" s="12">
        <v>3857354.7889271998</v>
      </c>
      <c r="L14" s="12">
        <v>755238.23050719989</v>
      </c>
      <c r="M14" s="12">
        <v>755238.23050719989</v>
      </c>
      <c r="N14" s="12">
        <v>930269.68021999998</v>
      </c>
      <c r="O14" s="11">
        <v>0</v>
      </c>
      <c r="P14" s="11">
        <v>0.38239177925525297</v>
      </c>
      <c r="Q14" s="11">
        <v>0.15295671170210121</v>
      </c>
      <c r="R14" s="11">
        <v>0.38239177925525297</v>
      </c>
      <c r="S14" s="11">
        <v>0.38239177925525297</v>
      </c>
      <c r="T14" s="11">
        <v>0.38239177925525297</v>
      </c>
      <c r="U14" s="11">
        <v>0.3823917863542613</v>
      </c>
      <c r="V14" s="11">
        <v>0.45822641124434821</v>
      </c>
      <c r="W14" s="11">
        <v>0.3823917863542613</v>
      </c>
      <c r="X14" s="11">
        <v>0.3823917863542613</v>
      </c>
      <c r="Y14" s="11">
        <v>0</v>
      </c>
      <c r="Z14" s="11">
        <v>0</v>
      </c>
      <c r="AA14" s="11">
        <v>6.9296576761566019E-4</v>
      </c>
      <c r="AB14" s="11">
        <v>5.1278429783915076E-4</v>
      </c>
      <c r="AC14" s="11">
        <v>3.0030244962751562E-4</v>
      </c>
      <c r="AD14" s="11">
        <v>8.8929742660973196E-4</v>
      </c>
      <c r="AE14" s="11">
        <v>8.8929742660973229E-4</v>
      </c>
      <c r="AF14" s="11">
        <v>1.0856290911788449E-3</v>
      </c>
      <c r="AG14" s="11">
        <v>1.7341790190165171E-3</v>
      </c>
      <c r="AH14" s="11">
        <v>9.8165829497036134E-4</v>
      </c>
      <c r="AI14" s="11">
        <v>1.47829240916699E-3</v>
      </c>
      <c r="AJ14" s="11">
        <v>9.8165829497036134E-4</v>
      </c>
      <c r="AK14" s="11">
        <v>3.9266331798814462E-4</v>
      </c>
      <c r="AL14" s="11">
        <v>1.106504259997601E-3</v>
      </c>
      <c r="AM14" s="11">
        <v>8.1879659361989597E-4</v>
      </c>
      <c r="AN14" s="11">
        <v>4.7951277729617488E-4</v>
      </c>
      <c r="AO14" s="11">
        <v>1.4200000013483141E-3</v>
      </c>
      <c r="AP14" s="11">
        <v>1.4200000013483141E-3</v>
      </c>
      <c r="AQ14" s="11">
        <v>1.733495751601062E-3</v>
      </c>
      <c r="AR14" s="11">
        <v>2.769078303453085E-3</v>
      </c>
      <c r="AS14" s="11">
        <v>1.5674787067535649E-3</v>
      </c>
      <c r="AT14" s="11">
        <v>2.3604872343024881E-3</v>
      </c>
      <c r="AU14" s="11">
        <v>1.5674787067535649E-3</v>
      </c>
      <c r="AV14" s="11">
        <v>6.2699148270142595E-4</v>
      </c>
      <c r="AW14" s="11">
        <v>1</v>
      </c>
      <c r="AX14" s="11">
        <v>3</v>
      </c>
      <c r="AY14" s="11">
        <v>3</v>
      </c>
      <c r="AZ14" s="11">
        <v>1</v>
      </c>
      <c r="BA14" s="11">
        <v>1</v>
      </c>
      <c r="BB14" s="11">
        <v>1</v>
      </c>
      <c r="BC14" s="11">
        <v>3</v>
      </c>
      <c r="BD14" s="11">
        <v>1</v>
      </c>
      <c r="BE14" s="11">
        <v>1</v>
      </c>
      <c r="BF14" s="11">
        <v>2</v>
      </c>
      <c r="BG14" s="11">
        <v>0</v>
      </c>
      <c r="BH14" s="11">
        <v>2</v>
      </c>
      <c r="BI14" s="11">
        <v>2</v>
      </c>
      <c r="BJ14" s="11">
        <v>2</v>
      </c>
      <c r="BK14" s="11">
        <v>-4</v>
      </c>
      <c r="BL14" s="11">
        <v>-8</v>
      </c>
      <c r="BM14" s="11">
        <v>-8</v>
      </c>
      <c r="BN14" s="11">
        <v>-8</v>
      </c>
      <c r="BO14" s="11">
        <v>2</v>
      </c>
      <c r="BP14" s="11">
        <v>-6</v>
      </c>
      <c r="BQ14" s="11">
        <v>4</v>
      </c>
      <c r="BR14" s="11">
        <v>0</v>
      </c>
      <c r="BS14" s="11">
        <v>6</v>
      </c>
      <c r="BT14" s="11">
        <v>2</v>
      </c>
      <c r="BU14" s="11">
        <v>8</v>
      </c>
      <c r="BV14" s="11">
        <v>-8</v>
      </c>
      <c r="BW14" s="11">
        <v>-8</v>
      </c>
      <c r="BX14" s="11">
        <v>-8</v>
      </c>
      <c r="BY14" s="11">
        <v>-8</v>
      </c>
      <c r="BZ14" s="11">
        <v>2</v>
      </c>
      <c r="CA14" s="11">
        <v>-8</v>
      </c>
      <c r="CB14" s="11">
        <v>4</v>
      </c>
      <c r="CC14" s="11">
        <v>0</v>
      </c>
    </row>
    <row r="15" spans="1:81" x14ac:dyDescent="0.2">
      <c r="A15" t="s">
        <v>22</v>
      </c>
      <c r="B15" t="s">
        <v>24</v>
      </c>
      <c r="C15">
        <v>1416020</v>
      </c>
      <c r="D15">
        <v>14</v>
      </c>
      <c r="E15" s="12">
        <v>675791.91521999985</v>
      </c>
      <c r="F15" s="12">
        <f>paddock_data!G16</f>
        <v>4889.1886217716474</v>
      </c>
      <c r="G15" s="12">
        <v>803768.65052596806</v>
      </c>
      <c r="H15" s="12">
        <v>675791.91521999985</v>
      </c>
      <c r="I15" s="12">
        <v>1094233.58864</v>
      </c>
      <c r="J15" s="12">
        <v>1094838.6580568</v>
      </c>
      <c r="K15" s="12">
        <v>3131783.4280567998</v>
      </c>
      <c r="L15" s="12">
        <v>676396.9846367999</v>
      </c>
      <c r="M15" s="12">
        <v>676396.9846367999</v>
      </c>
      <c r="N15" s="12">
        <v>768238.26121999999</v>
      </c>
      <c r="O15" s="11">
        <v>0</v>
      </c>
      <c r="P15" s="11">
        <v>0.32459972225690842</v>
      </c>
      <c r="Q15" s="11">
        <v>0.12983988890276341</v>
      </c>
      <c r="R15" s="11">
        <v>0.32459972225690842</v>
      </c>
      <c r="S15" s="11">
        <v>0.32459972225690842</v>
      </c>
      <c r="T15" s="11">
        <v>0.32459972225690842</v>
      </c>
      <c r="U15" s="11">
        <v>0.32459972011139843</v>
      </c>
      <c r="V15" s="11">
        <v>0.34859518982171978</v>
      </c>
      <c r="W15" s="11">
        <v>0.32459972011139843</v>
      </c>
      <c r="X15" s="11">
        <v>0.32459972011139843</v>
      </c>
      <c r="Y15" s="11">
        <v>0</v>
      </c>
      <c r="Z15" s="11">
        <v>0</v>
      </c>
      <c r="AA15" s="11">
        <v>1.2951602518140001E-3</v>
      </c>
      <c r="AB15" s="11">
        <v>9.8926008231137348E-4</v>
      </c>
      <c r="AC15" s="11">
        <v>5.0983361583771124E-4</v>
      </c>
      <c r="AD15" s="11">
        <v>1.6878235698021451E-3</v>
      </c>
      <c r="AE15" s="11">
        <v>1.6878235698021451E-3</v>
      </c>
      <c r="AF15" s="11">
        <v>2.0804868844204369E-3</v>
      </c>
      <c r="AG15" s="11">
        <v>3.2961654013974259E-3</v>
      </c>
      <c r="AH15" s="11">
        <v>1.9633165899407231E-3</v>
      </c>
      <c r="AI15" s="11">
        <v>2.8658135203967262E-3</v>
      </c>
      <c r="AJ15" s="11">
        <v>1.9633165899407231E-3</v>
      </c>
      <c r="AK15" s="11">
        <v>7.8532663597628914E-4</v>
      </c>
      <c r="AL15" s="11">
        <v>2.9577511300578129E-2</v>
      </c>
      <c r="AM15" s="11">
        <v>2.2591684096847611E-2</v>
      </c>
      <c r="AN15" s="11">
        <v>1.1643045339550861E-2</v>
      </c>
      <c r="AO15" s="11">
        <v>3.8544744281091767E-2</v>
      </c>
      <c r="AP15" s="11">
        <v>3.8544744281091767E-2</v>
      </c>
      <c r="AQ15" s="11">
        <v>4.7511977184648252E-2</v>
      </c>
      <c r="AR15" s="11">
        <v>7.5274367995666405E-2</v>
      </c>
      <c r="AS15" s="11">
        <v>4.4836164902568178E-2</v>
      </c>
      <c r="AT15" s="11">
        <v>6.544644314567552E-2</v>
      </c>
      <c r="AU15" s="11">
        <v>4.4836164902568178E-2</v>
      </c>
      <c r="AV15" s="11">
        <v>1.7934465961027268E-2</v>
      </c>
      <c r="AW15" s="11">
        <v>1</v>
      </c>
      <c r="AX15" s="11">
        <v>3</v>
      </c>
      <c r="AY15" s="11">
        <v>3</v>
      </c>
      <c r="AZ15" s="11">
        <v>1</v>
      </c>
      <c r="BA15" s="11">
        <v>1</v>
      </c>
      <c r="BB15" s="11">
        <v>1</v>
      </c>
      <c r="BC15" s="11">
        <v>3</v>
      </c>
      <c r="BD15" s="11">
        <v>1</v>
      </c>
      <c r="BE15" s="11">
        <v>1</v>
      </c>
      <c r="BF15" s="11">
        <v>2</v>
      </c>
      <c r="BG15" s="11">
        <v>0</v>
      </c>
      <c r="BH15" s="11">
        <v>2</v>
      </c>
      <c r="BI15" s="11">
        <v>2</v>
      </c>
      <c r="BJ15" s="11">
        <v>2</v>
      </c>
      <c r="BK15" s="11">
        <v>-4</v>
      </c>
      <c r="BL15" s="11">
        <v>-8</v>
      </c>
      <c r="BM15" s="11">
        <v>-8</v>
      </c>
      <c r="BN15" s="11">
        <v>-8</v>
      </c>
      <c r="BO15" s="11">
        <v>2</v>
      </c>
      <c r="BP15" s="11">
        <v>-6</v>
      </c>
      <c r="BQ15" s="11">
        <v>4</v>
      </c>
      <c r="BR15" s="11">
        <v>0</v>
      </c>
      <c r="BS15" s="11">
        <v>6</v>
      </c>
      <c r="BT15" s="11">
        <v>2</v>
      </c>
      <c r="BU15" s="11">
        <v>8</v>
      </c>
      <c r="BV15" s="11">
        <v>-8</v>
      </c>
      <c r="BW15" s="11">
        <v>-8</v>
      </c>
      <c r="BX15" s="11">
        <v>-8</v>
      </c>
      <c r="BY15" s="11">
        <v>-8</v>
      </c>
      <c r="BZ15" s="11">
        <v>2</v>
      </c>
      <c r="CA15" s="11">
        <v>-8</v>
      </c>
      <c r="CB15" s="11">
        <v>4</v>
      </c>
      <c r="CC15" s="11">
        <v>0</v>
      </c>
    </row>
    <row r="16" spans="1:81" x14ac:dyDescent="0.2">
      <c r="A16" t="s">
        <v>22</v>
      </c>
      <c r="B16" t="s">
        <v>24</v>
      </c>
      <c r="C16">
        <v>550609</v>
      </c>
      <c r="D16">
        <v>15</v>
      </c>
      <c r="E16" s="12">
        <v>543938.37774000003</v>
      </c>
      <c r="F16" s="12">
        <f>paddock_data!G17</f>
        <v>1901.1251662017942</v>
      </c>
      <c r="G16" s="12">
        <v>655775.27156596829</v>
      </c>
      <c r="H16" s="12">
        <v>543938.37774000003</v>
      </c>
      <c r="I16" s="12">
        <v>888383.36168000009</v>
      </c>
      <c r="J16" s="12">
        <v>888383.36168000009</v>
      </c>
      <c r="K16" s="12">
        <v>1680434.40818</v>
      </c>
      <c r="L16" s="12">
        <v>543938.37774000003</v>
      </c>
      <c r="M16" s="12">
        <v>543938.37774000003</v>
      </c>
      <c r="N16" s="12">
        <v>451147.62183999998</v>
      </c>
      <c r="O16" s="11">
        <v>0</v>
      </c>
      <c r="P16" s="11">
        <v>0.29042280042636093</v>
      </c>
      <c r="Q16" s="11">
        <v>0.1161691201705443</v>
      </c>
      <c r="R16" s="11">
        <v>0.29042280042636093</v>
      </c>
      <c r="S16" s="11">
        <v>0.29042280042636093</v>
      </c>
      <c r="T16" s="11">
        <v>0.29042280042636093</v>
      </c>
      <c r="U16" s="11">
        <v>0.29042280930155823</v>
      </c>
      <c r="V16" s="11">
        <v>0.32209813171599222</v>
      </c>
      <c r="W16" s="11">
        <v>0.29042280930155823</v>
      </c>
      <c r="X16" s="11">
        <v>0.29042280930155823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1.6352348519402461E-2</v>
      </c>
      <c r="AM16" s="11">
        <v>1.2747370387705591E-2</v>
      </c>
      <c r="AN16" s="11">
        <v>6.0082968861614539E-3</v>
      </c>
      <c r="AO16" s="11">
        <v>2.1524374336022969E-2</v>
      </c>
      <c r="AP16" s="11">
        <v>2.1524374336022969E-2</v>
      </c>
      <c r="AQ16" s="11">
        <v>2.6696400336254471E-2</v>
      </c>
      <c r="AR16" s="11">
        <v>4.2867780127224919E-2</v>
      </c>
      <c r="AS16" s="11">
        <v>2.5860129083102531E-2</v>
      </c>
      <c r="AT16" s="11">
        <v>3.7040451969495493E-2</v>
      </c>
      <c r="AU16" s="11">
        <v>2.5860129083102531E-2</v>
      </c>
      <c r="AV16" s="11">
        <v>1.034405163324101E-2</v>
      </c>
      <c r="AW16" s="11">
        <v>1</v>
      </c>
      <c r="AX16" s="11">
        <v>3</v>
      </c>
      <c r="AY16" s="11">
        <v>3</v>
      </c>
      <c r="AZ16" s="11">
        <v>1</v>
      </c>
      <c r="BA16" s="11">
        <v>1</v>
      </c>
      <c r="BB16" s="11">
        <v>1</v>
      </c>
      <c r="BC16" s="11">
        <v>3</v>
      </c>
      <c r="BD16" s="11">
        <v>1</v>
      </c>
      <c r="BE16" s="11">
        <v>1</v>
      </c>
      <c r="BF16" s="11">
        <v>2</v>
      </c>
      <c r="BG16" s="11">
        <v>0</v>
      </c>
      <c r="BH16" s="11">
        <v>2</v>
      </c>
      <c r="BI16" s="11">
        <v>2</v>
      </c>
      <c r="BJ16" s="11">
        <v>2</v>
      </c>
      <c r="BK16" s="11">
        <v>-4</v>
      </c>
      <c r="BL16" s="11">
        <v>-8</v>
      </c>
      <c r="BM16" s="11">
        <v>-8</v>
      </c>
      <c r="BN16" s="11">
        <v>-8</v>
      </c>
      <c r="BO16" s="11">
        <v>2</v>
      </c>
      <c r="BP16" s="11">
        <v>-6</v>
      </c>
      <c r="BQ16" s="11">
        <v>4</v>
      </c>
      <c r="BR16" s="11">
        <v>0</v>
      </c>
      <c r="BS16" s="11">
        <v>6</v>
      </c>
      <c r="BT16" s="11">
        <v>2</v>
      </c>
      <c r="BU16" s="11">
        <v>8</v>
      </c>
      <c r="BV16" s="11">
        <v>-8</v>
      </c>
      <c r="BW16" s="11">
        <v>-8</v>
      </c>
      <c r="BX16" s="11">
        <v>-8</v>
      </c>
      <c r="BY16" s="11">
        <v>-8</v>
      </c>
      <c r="BZ16" s="11">
        <v>2</v>
      </c>
      <c r="CA16" s="11">
        <v>-8</v>
      </c>
      <c r="CB16" s="11">
        <v>4</v>
      </c>
      <c r="CC16" s="11">
        <v>0</v>
      </c>
    </row>
    <row r="17" spans="1:81" x14ac:dyDescent="0.2">
      <c r="A17" t="s">
        <v>22</v>
      </c>
      <c r="B17" t="s">
        <v>25</v>
      </c>
      <c r="C17">
        <v>2767080</v>
      </c>
      <c r="D17">
        <v>16</v>
      </c>
      <c r="E17" s="12">
        <v>636805.09885000007</v>
      </c>
      <c r="F17" s="12">
        <f>paddock_data!G18</f>
        <v>9554.0854306661549</v>
      </c>
      <c r="G17" s="12">
        <v>1167992.8517859681</v>
      </c>
      <c r="H17" s="12">
        <v>636805.09885000007</v>
      </c>
      <c r="I17" s="12">
        <v>1237358.8729000001</v>
      </c>
      <c r="J17" s="12">
        <v>1237695.8008077999</v>
      </c>
      <c r="K17" s="12">
        <v>2053707.6928077999</v>
      </c>
      <c r="L17" s="12">
        <v>637142.02675780002</v>
      </c>
      <c r="M17" s="12">
        <v>637142.02675780002</v>
      </c>
      <c r="N17" s="12">
        <v>863610.13584999996</v>
      </c>
      <c r="O17" s="11">
        <v>0</v>
      </c>
      <c r="P17" s="11">
        <v>0.1461582552926228</v>
      </c>
      <c r="Q17" s="11">
        <v>5.8463302117049122E-2</v>
      </c>
      <c r="R17" s="11">
        <v>0.1461582552926228</v>
      </c>
      <c r="S17" s="11">
        <v>0.1461582552926228</v>
      </c>
      <c r="T17" s="11">
        <v>0.1461582552926228</v>
      </c>
      <c r="U17" s="11">
        <v>0.1461745408432582</v>
      </c>
      <c r="V17" s="11">
        <v>0.114020826655028</v>
      </c>
      <c r="W17" s="11">
        <v>0.1461745408432582</v>
      </c>
      <c r="X17" s="11">
        <v>0.1461745408432582</v>
      </c>
      <c r="Y17" s="11">
        <v>0</v>
      </c>
      <c r="Z17" s="11">
        <v>0</v>
      </c>
      <c r="AA17" s="11">
        <v>1.0148905778745269E-3</v>
      </c>
      <c r="AB17" s="11">
        <v>8.7715221273558432E-4</v>
      </c>
      <c r="AC17" s="11">
        <v>2.2956394189823829E-4</v>
      </c>
      <c r="AD17" s="11">
        <v>1.407553895862672E-3</v>
      </c>
      <c r="AE17" s="11">
        <v>1.407553895862672E-3</v>
      </c>
      <c r="AF17" s="11">
        <v>1.800242792804208E-3</v>
      </c>
      <c r="AG17" s="11">
        <v>2.9277304103734691E-3</v>
      </c>
      <c r="AH17" s="11">
        <v>1.9633165899407231E-3</v>
      </c>
      <c r="AI17" s="11">
        <v>2.585569428780497E-3</v>
      </c>
      <c r="AJ17" s="11">
        <v>1.9633165899407231E-3</v>
      </c>
      <c r="AK17" s="11">
        <v>7.8532663597628914E-4</v>
      </c>
      <c r="AL17" s="11">
        <v>5.2287130595347221E-3</v>
      </c>
      <c r="AM17" s="11">
        <v>4.519085436319176E-3</v>
      </c>
      <c r="AN17" s="11">
        <v>1.1827127053592439E-3</v>
      </c>
      <c r="AO17" s="11">
        <v>7.2517132366224629E-3</v>
      </c>
      <c r="AP17" s="11">
        <v>7.2517132366224629E-3</v>
      </c>
      <c r="AQ17" s="11">
        <v>9.2748451963974802E-3</v>
      </c>
      <c r="AR17" s="11">
        <v>1.508365784967342E-2</v>
      </c>
      <c r="AS17" s="11">
        <v>1.0115000885438701E-2</v>
      </c>
      <c r="AT17" s="11">
        <v>1.332084555057296E-2</v>
      </c>
      <c r="AU17" s="11">
        <v>1.0115000885438701E-2</v>
      </c>
      <c r="AV17" s="11">
        <v>4.046000354175479E-3</v>
      </c>
      <c r="AW17" s="11">
        <v>2</v>
      </c>
      <c r="AX17" s="11">
        <v>6</v>
      </c>
      <c r="AY17" s="11">
        <v>6</v>
      </c>
      <c r="AZ17" s="11">
        <v>2</v>
      </c>
      <c r="BA17" s="11">
        <v>2</v>
      </c>
      <c r="BB17" s="11">
        <v>2</v>
      </c>
      <c r="BC17" s="11">
        <v>6</v>
      </c>
      <c r="BD17" s="11">
        <v>2</v>
      </c>
      <c r="BE17" s="11">
        <v>2</v>
      </c>
      <c r="BF17" s="11">
        <v>4</v>
      </c>
      <c r="BG17" s="11">
        <v>0</v>
      </c>
      <c r="BH17" s="11">
        <v>3</v>
      </c>
      <c r="BI17" s="11">
        <v>3</v>
      </c>
      <c r="BJ17" s="11">
        <v>3</v>
      </c>
      <c r="BK17" s="11">
        <v>-6</v>
      </c>
      <c r="BL17" s="11">
        <v>-12</v>
      </c>
      <c r="BM17" s="11">
        <v>-12</v>
      </c>
      <c r="BN17" s="11">
        <v>-12</v>
      </c>
      <c r="BO17" s="11">
        <v>3</v>
      </c>
      <c r="BP17" s="11">
        <v>-9</v>
      </c>
      <c r="BQ17" s="11">
        <v>6</v>
      </c>
      <c r="BR17" s="11">
        <v>0</v>
      </c>
      <c r="BS17" s="11">
        <v>9</v>
      </c>
      <c r="BT17" s="11">
        <v>3</v>
      </c>
      <c r="BU17" s="11">
        <v>12</v>
      </c>
      <c r="BV17" s="11">
        <v>-12</v>
      </c>
      <c r="BW17" s="11">
        <v>-12</v>
      </c>
      <c r="BX17" s="11">
        <v>-12</v>
      </c>
      <c r="BY17" s="11">
        <v>-12</v>
      </c>
      <c r="BZ17" s="11">
        <v>3</v>
      </c>
      <c r="CA17" s="11">
        <v>-12</v>
      </c>
      <c r="CB17" s="11">
        <v>6</v>
      </c>
      <c r="CC17" s="11">
        <v>0</v>
      </c>
    </row>
    <row r="18" spans="1:81" x14ac:dyDescent="0.2">
      <c r="A18" t="s">
        <v>22</v>
      </c>
      <c r="B18" t="s">
        <v>25</v>
      </c>
      <c r="C18">
        <v>2300660</v>
      </c>
      <c r="D18">
        <v>17</v>
      </c>
      <c r="E18" s="12">
        <v>602616.79773400002</v>
      </c>
      <c r="F18" s="12">
        <f>paddock_data!G19</f>
        <v>7943.6453542782992</v>
      </c>
      <c r="G18" s="12">
        <v>1106799.751153968</v>
      </c>
      <c r="H18" s="12">
        <v>602616.79773400002</v>
      </c>
      <c r="I18" s="12">
        <v>1172574.021468</v>
      </c>
      <c r="J18" s="12">
        <v>1174764.056414</v>
      </c>
      <c r="K18" s="12">
        <v>1853228.6904140001</v>
      </c>
      <c r="L18" s="12">
        <v>604806.83267999999</v>
      </c>
      <c r="M18" s="12">
        <v>604806.83267999999</v>
      </c>
      <c r="N18" s="12">
        <v>780587.97753399995</v>
      </c>
      <c r="O18" s="11">
        <v>0</v>
      </c>
      <c r="P18" s="11">
        <v>0.2599672965709881</v>
      </c>
      <c r="Q18" s="11">
        <v>0.10398691862839519</v>
      </c>
      <c r="R18" s="11">
        <v>0.2599672965709881</v>
      </c>
      <c r="S18" s="11">
        <v>0.2599672965709881</v>
      </c>
      <c r="T18" s="11">
        <v>0.2599672965709881</v>
      </c>
      <c r="U18" s="11">
        <v>0.25997736288743611</v>
      </c>
      <c r="V18" s="11">
        <v>0.18307740018057919</v>
      </c>
      <c r="W18" s="11">
        <v>0.25997736288743611</v>
      </c>
      <c r="X18" s="11">
        <v>0.25997736288743611</v>
      </c>
      <c r="Y18" s="11">
        <v>0</v>
      </c>
      <c r="Z18" s="11">
        <v>0</v>
      </c>
      <c r="AA18" s="11">
        <v>7.7586932860851561E-3</v>
      </c>
      <c r="AB18" s="11">
        <v>6.1662511947415894E-3</v>
      </c>
      <c r="AC18" s="11">
        <v>2.654070152239276E-3</v>
      </c>
      <c r="AD18" s="11">
        <v>1.03110048530081E-2</v>
      </c>
      <c r="AE18" s="11">
        <v>1.03110048530081E-2</v>
      </c>
      <c r="AF18" s="11">
        <v>1.286341918943466E-2</v>
      </c>
      <c r="AG18" s="11">
        <v>1.9735263232952861E-2</v>
      </c>
      <c r="AH18" s="11">
        <v>1.27615578346147E-2</v>
      </c>
      <c r="AI18" s="11">
        <v>1.7968042323280541E-2</v>
      </c>
      <c r="AJ18" s="11">
        <v>1.27615578346147E-2</v>
      </c>
      <c r="AK18" s="11">
        <v>5.1046231338458788E-3</v>
      </c>
      <c r="AL18" s="11">
        <v>1.8079458706484121E-2</v>
      </c>
      <c r="AM18" s="11">
        <v>1.4368719027607059E-2</v>
      </c>
      <c r="AN18" s="11">
        <v>6.1845661314617606E-3</v>
      </c>
      <c r="AO18" s="11">
        <v>2.4026904993995301E-2</v>
      </c>
      <c r="AP18" s="11">
        <v>2.4026904993995301E-2</v>
      </c>
      <c r="AQ18" s="11">
        <v>2.9974590757012028E-2</v>
      </c>
      <c r="AR18" s="11">
        <v>4.5987496028702987E-2</v>
      </c>
      <c r="AS18" s="11">
        <v>2.973723143755589E-2</v>
      </c>
      <c r="AT18" s="11">
        <v>4.1869483332034392E-2</v>
      </c>
      <c r="AU18" s="11">
        <v>2.973723143755589E-2</v>
      </c>
      <c r="AV18" s="11">
        <v>1.189489257502236E-2</v>
      </c>
      <c r="AW18" s="11">
        <v>2</v>
      </c>
      <c r="AX18" s="11">
        <v>6</v>
      </c>
      <c r="AY18" s="11">
        <v>6</v>
      </c>
      <c r="AZ18" s="11">
        <v>2</v>
      </c>
      <c r="BA18" s="11">
        <v>2</v>
      </c>
      <c r="BB18" s="11">
        <v>2</v>
      </c>
      <c r="BC18" s="11">
        <v>6</v>
      </c>
      <c r="BD18" s="11">
        <v>2</v>
      </c>
      <c r="BE18" s="11">
        <v>2</v>
      </c>
      <c r="BF18" s="11">
        <v>4</v>
      </c>
      <c r="BG18" s="11">
        <v>0</v>
      </c>
      <c r="BH18" s="11">
        <v>3</v>
      </c>
      <c r="BI18" s="11">
        <v>3</v>
      </c>
      <c r="BJ18" s="11">
        <v>3</v>
      </c>
      <c r="BK18" s="11">
        <v>-6</v>
      </c>
      <c r="BL18" s="11">
        <v>-12</v>
      </c>
      <c r="BM18" s="11">
        <v>-12</v>
      </c>
      <c r="BN18" s="11">
        <v>-12</v>
      </c>
      <c r="BO18" s="11">
        <v>3</v>
      </c>
      <c r="BP18" s="11">
        <v>-9</v>
      </c>
      <c r="BQ18" s="11">
        <v>6</v>
      </c>
      <c r="BR18" s="11">
        <v>0</v>
      </c>
      <c r="BS18" s="11">
        <v>9</v>
      </c>
      <c r="BT18" s="11">
        <v>3</v>
      </c>
      <c r="BU18" s="11">
        <v>12</v>
      </c>
      <c r="BV18" s="11">
        <v>-12</v>
      </c>
      <c r="BW18" s="11">
        <v>-12</v>
      </c>
      <c r="BX18" s="11">
        <v>-12</v>
      </c>
      <c r="BY18" s="11">
        <v>-12</v>
      </c>
      <c r="BZ18" s="11">
        <v>3</v>
      </c>
      <c r="CA18" s="11">
        <v>-12</v>
      </c>
      <c r="CB18" s="11">
        <v>6</v>
      </c>
      <c r="CC18" s="11">
        <v>0</v>
      </c>
    </row>
    <row r="19" spans="1:81" x14ac:dyDescent="0.2">
      <c r="A19" t="s">
        <v>22</v>
      </c>
      <c r="B19" t="s">
        <v>25</v>
      </c>
      <c r="C19">
        <v>2575060</v>
      </c>
      <c r="D19">
        <v>18</v>
      </c>
      <c r="E19" s="12">
        <v>668248.04596899997</v>
      </c>
      <c r="F19" s="12">
        <f>paddock_data!G20</f>
        <v>8891.0849086731105</v>
      </c>
      <c r="G19" s="12">
        <v>1224272.0866239681</v>
      </c>
      <c r="H19" s="12">
        <v>668248.04596899997</v>
      </c>
      <c r="I19" s="12">
        <v>1296941.437438</v>
      </c>
      <c r="J19" s="12">
        <v>1300119.895578</v>
      </c>
      <c r="K19" s="12">
        <v>2059505.0895779999</v>
      </c>
      <c r="L19" s="12">
        <v>671426.50410899997</v>
      </c>
      <c r="M19" s="12">
        <v>671426.50410899997</v>
      </c>
      <c r="N19" s="12">
        <v>870166.70526900003</v>
      </c>
      <c r="O19" s="11">
        <v>0</v>
      </c>
      <c r="P19" s="11">
        <v>0.31823073451796841</v>
      </c>
      <c r="Q19" s="11">
        <v>0.12729229380718729</v>
      </c>
      <c r="R19" s="11">
        <v>0.31823073451796841</v>
      </c>
      <c r="S19" s="11">
        <v>0.31823073451796841</v>
      </c>
      <c r="T19" s="11">
        <v>0.31823073451796841</v>
      </c>
      <c r="U19" s="11">
        <v>0.31834871092706563</v>
      </c>
      <c r="V19" s="11">
        <v>0.23095282379891591</v>
      </c>
      <c r="W19" s="11">
        <v>0.31834871092706563</v>
      </c>
      <c r="X19" s="11">
        <v>0.31834871092706563</v>
      </c>
      <c r="Y19" s="11">
        <v>0</v>
      </c>
      <c r="Z19" s="11">
        <v>0</v>
      </c>
      <c r="AA19" s="11">
        <v>1.349414619401949E-2</v>
      </c>
      <c r="AB19" s="11">
        <v>1.034521628425842E-2</v>
      </c>
      <c r="AC19" s="11">
        <v>5.2482165162684533E-3</v>
      </c>
      <c r="AD19" s="11">
        <v>1.7617111032895E-2</v>
      </c>
      <c r="AE19" s="11">
        <v>1.7617111032895E-2</v>
      </c>
      <c r="AF19" s="11">
        <v>2.1742021522116621E-2</v>
      </c>
      <c r="AG19" s="11">
        <v>3.2669595359976399E-2</v>
      </c>
      <c r="AH19" s="11">
        <v>2.0614824194377591E-2</v>
      </c>
      <c r="AI19" s="11">
        <v>2.9987951199867659E-2</v>
      </c>
      <c r="AJ19" s="11">
        <v>2.0614824194377591E-2</v>
      </c>
      <c r="AK19" s="11">
        <v>8.2459296777510349E-3</v>
      </c>
      <c r="AL19" s="11">
        <v>0.10989566160950121</v>
      </c>
      <c r="AM19" s="11">
        <v>8.4250931604389193E-2</v>
      </c>
      <c r="AN19" s="11">
        <v>4.2741216675186752E-2</v>
      </c>
      <c r="AO19" s="11">
        <v>0.14347288407665851</v>
      </c>
      <c r="AP19" s="11">
        <v>0.14347288407665851</v>
      </c>
      <c r="AQ19" s="11">
        <v>0.17706595182435231</v>
      </c>
      <c r="AR19" s="11">
        <v>0.26605957464655827</v>
      </c>
      <c r="AS19" s="11">
        <v>0.16788611233578629</v>
      </c>
      <c r="AT19" s="11">
        <v>0.2442203967586668</v>
      </c>
      <c r="AU19" s="11">
        <v>0.16788611233578629</v>
      </c>
      <c r="AV19" s="11">
        <v>6.7154444934314508E-2</v>
      </c>
      <c r="AW19" s="11">
        <v>2</v>
      </c>
      <c r="AX19" s="11">
        <v>6</v>
      </c>
      <c r="AY19" s="11">
        <v>6</v>
      </c>
      <c r="AZ19" s="11">
        <v>2</v>
      </c>
      <c r="BA19" s="11">
        <v>2</v>
      </c>
      <c r="BB19" s="11">
        <v>2</v>
      </c>
      <c r="BC19" s="11">
        <v>6</v>
      </c>
      <c r="BD19" s="11">
        <v>2</v>
      </c>
      <c r="BE19" s="11">
        <v>2</v>
      </c>
      <c r="BF19" s="11">
        <v>4</v>
      </c>
      <c r="BG19" s="11">
        <v>0</v>
      </c>
      <c r="BH19" s="11">
        <v>3</v>
      </c>
      <c r="BI19" s="11">
        <v>3</v>
      </c>
      <c r="BJ19" s="11">
        <v>3</v>
      </c>
      <c r="BK19" s="11">
        <v>-6</v>
      </c>
      <c r="BL19" s="11">
        <v>-12</v>
      </c>
      <c r="BM19" s="11">
        <v>-12</v>
      </c>
      <c r="BN19" s="11">
        <v>-12</v>
      </c>
      <c r="BO19" s="11">
        <v>3</v>
      </c>
      <c r="BP19" s="11">
        <v>-9</v>
      </c>
      <c r="BQ19" s="11">
        <v>6</v>
      </c>
      <c r="BR19" s="11">
        <v>0</v>
      </c>
      <c r="BS19" s="11">
        <v>9</v>
      </c>
      <c r="BT19" s="11">
        <v>3</v>
      </c>
      <c r="BU19" s="11">
        <v>12</v>
      </c>
      <c r="BV19" s="11">
        <v>-12</v>
      </c>
      <c r="BW19" s="11">
        <v>-12</v>
      </c>
      <c r="BX19" s="11">
        <v>-12</v>
      </c>
      <c r="BY19" s="11">
        <v>-12</v>
      </c>
      <c r="BZ19" s="11">
        <v>3</v>
      </c>
      <c r="CA19" s="11">
        <v>-12</v>
      </c>
      <c r="CB19" s="11">
        <v>6</v>
      </c>
      <c r="CC19" s="11">
        <v>0</v>
      </c>
    </row>
    <row r="20" spans="1:81" x14ac:dyDescent="0.2">
      <c r="A20" t="s">
        <v>22</v>
      </c>
      <c r="B20" t="s">
        <v>25</v>
      </c>
      <c r="C20">
        <v>2628580</v>
      </c>
      <c r="D20">
        <v>19</v>
      </c>
      <c r="E20" s="12">
        <v>601253.63311000005</v>
      </c>
      <c r="F20" s="12">
        <f>paddock_data!G21</f>
        <v>9075.877054996763</v>
      </c>
      <c r="G20" s="12">
        <v>1104359.8443059679</v>
      </c>
      <c r="H20" s="12">
        <v>601253.63311000005</v>
      </c>
      <c r="I20" s="12">
        <v>1169990.9034200001</v>
      </c>
      <c r="J20" s="12">
        <v>1174009.7717019999</v>
      </c>
      <c r="K20" s="12">
        <v>1949178.013702</v>
      </c>
      <c r="L20" s="12">
        <v>605272.50139200001</v>
      </c>
      <c r="M20" s="12">
        <v>605272.50139200001</v>
      </c>
      <c r="N20" s="12">
        <v>816226.23210999998</v>
      </c>
      <c r="O20" s="11">
        <v>0</v>
      </c>
      <c r="P20" s="11">
        <v>0.32031311646020688</v>
      </c>
      <c r="Q20" s="11">
        <v>0.12812524658408281</v>
      </c>
      <c r="R20" s="11">
        <v>0.32031311646020688</v>
      </c>
      <c r="S20" s="11">
        <v>0.32031311646020688</v>
      </c>
      <c r="T20" s="11">
        <v>0.32031311646020688</v>
      </c>
      <c r="U20" s="11">
        <v>0.32047890971508458</v>
      </c>
      <c r="V20" s="11">
        <v>0.29607946089607567</v>
      </c>
      <c r="W20" s="11">
        <v>0.32047890971508458</v>
      </c>
      <c r="X20" s="11">
        <v>0.32047890971508458</v>
      </c>
      <c r="Y20" s="11">
        <v>0</v>
      </c>
      <c r="Z20" s="11">
        <v>0</v>
      </c>
      <c r="AA20" s="11">
        <v>1.803798472551376E-2</v>
      </c>
      <c r="AB20" s="11">
        <v>1.381193763240633E-2</v>
      </c>
      <c r="AC20" s="11">
        <v>7.0434118218457168E-3</v>
      </c>
      <c r="AD20" s="11">
        <v>2.3535271177347789E-2</v>
      </c>
      <c r="AE20" s="11">
        <v>2.3535271177347789E-2</v>
      </c>
      <c r="AF20" s="11">
        <v>2.903620328123719E-2</v>
      </c>
      <c r="AG20" s="11">
        <v>4.499153959903944E-2</v>
      </c>
      <c r="AH20" s="11">
        <v>2.7486432259170121E-2</v>
      </c>
      <c r="AI20" s="11">
        <v>4.0030776184905227E-2</v>
      </c>
      <c r="AJ20" s="11">
        <v>2.7486432259170121E-2</v>
      </c>
      <c r="AK20" s="11">
        <v>1.0994572903668049E-2</v>
      </c>
      <c r="AL20" s="11">
        <v>0.2386355499166426</v>
      </c>
      <c r="AM20" s="11">
        <v>0.1827265840657695</v>
      </c>
      <c r="AN20" s="11">
        <v>9.3181609751455244E-2</v>
      </c>
      <c r="AO20" s="11">
        <v>0.31136251999923631</v>
      </c>
      <c r="AP20" s="11">
        <v>0.31136251999923631</v>
      </c>
      <c r="AQ20" s="11">
        <v>0.38413772064617963</v>
      </c>
      <c r="AR20" s="11">
        <v>0.59522063895679334</v>
      </c>
      <c r="AS20" s="11">
        <v>0.36363485041296839</v>
      </c>
      <c r="AT20" s="11">
        <v>0.52959166081136699</v>
      </c>
      <c r="AU20" s="11">
        <v>0.36363485041296839</v>
      </c>
      <c r="AV20" s="11">
        <v>0.1454539401651874</v>
      </c>
      <c r="AW20" s="11">
        <v>2</v>
      </c>
      <c r="AX20" s="11">
        <v>6</v>
      </c>
      <c r="AY20" s="11">
        <v>6</v>
      </c>
      <c r="AZ20" s="11">
        <v>2</v>
      </c>
      <c r="BA20" s="11">
        <v>2</v>
      </c>
      <c r="BB20" s="11">
        <v>2</v>
      </c>
      <c r="BC20" s="11">
        <v>6</v>
      </c>
      <c r="BD20" s="11">
        <v>2</v>
      </c>
      <c r="BE20" s="11">
        <v>2</v>
      </c>
      <c r="BF20" s="11">
        <v>4</v>
      </c>
      <c r="BG20" s="11">
        <v>0</v>
      </c>
      <c r="BH20" s="11">
        <v>3</v>
      </c>
      <c r="BI20" s="11">
        <v>3</v>
      </c>
      <c r="BJ20" s="11">
        <v>3</v>
      </c>
      <c r="BK20" s="11">
        <v>-6</v>
      </c>
      <c r="BL20" s="11">
        <v>-12</v>
      </c>
      <c r="BM20" s="11">
        <v>-12</v>
      </c>
      <c r="BN20" s="11">
        <v>-12</v>
      </c>
      <c r="BO20" s="11">
        <v>3</v>
      </c>
      <c r="BP20" s="11">
        <v>-9</v>
      </c>
      <c r="BQ20" s="11">
        <v>6</v>
      </c>
      <c r="BR20" s="11">
        <v>0</v>
      </c>
      <c r="BS20" s="11">
        <v>9</v>
      </c>
      <c r="BT20" s="11">
        <v>3</v>
      </c>
      <c r="BU20" s="11">
        <v>12</v>
      </c>
      <c r="BV20" s="11">
        <v>-12</v>
      </c>
      <c r="BW20" s="11">
        <v>-12</v>
      </c>
      <c r="BX20" s="11">
        <v>-12</v>
      </c>
      <c r="BY20" s="11">
        <v>-12</v>
      </c>
      <c r="BZ20" s="11">
        <v>3</v>
      </c>
      <c r="CA20" s="11">
        <v>-12</v>
      </c>
      <c r="CB20" s="11">
        <v>6</v>
      </c>
      <c r="CC20" s="11">
        <v>0</v>
      </c>
    </row>
    <row r="21" spans="1:81" x14ac:dyDescent="0.2">
      <c r="A21" t="s">
        <v>22</v>
      </c>
      <c r="B21" t="s">
        <v>25</v>
      </c>
      <c r="C21">
        <v>776032</v>
      </c>
      <c r="D21">
        <v>20</v>
      </c>
      <c r="E21" s="12">
        <v>351195.64090599999</v>
      </c>
      <c r="F21" s="12">
        <f>paddock_data!G22</f>
        <v>2679.4584995485197</v>
      </c>
      <c r="G21" s="12">
        <v>656784.99029796815</v>
      </c>
      <c r="H21" s="12">
        <v>351195.64090599999</v>
      </c>
      <c r="I21" s="12">
        <v>696145.48421199992</v>
      </c>
      <c r="J21" s="12">
        <v>696958.67289599997</v>
      </c>
      <c r="K21" s="12">
        <v>925810.50969599991</v>
      </c>
      <c r="L21" s="12">
        <v>352008.82958999998</v>
      </c>
      <c r="M21" s="12">
        <v>352008.82958999998</v>
      </c>
      <c r="N21" s="12">
        <v>384212.40990600002</v>
      </c>
      <c r="O21" s="11">
        <v>0</v>
      </c>
      <c r="P21" s="11">
        <v>0.31374597076617838</v>
      </c>
      <c r="Q21" s="11">
        <v>0.12549838830647139</v>
      </c>
      <c r="R21" s="11">
        <v>0.31374597076617838</v>
      </c>
      <c r="S21" s="11">
        <v>0.31374597076617838</v>
      </c>
      <c r="T21" s="11">
        <v>0.31374597076617838</v>
      </c>
      <c r="U21" s="11">
        <v>0.31413967361243439</v>
      </c>
      <c r="V21" s="11">
        <v>0.32894253753923042</v>
      </c>
      <c r="W21" s="11">
        <v>0.31413967361243439</v>
      </c>
      <c r="X21" s="11">
        <v>0.31413967361243439</v>
      </c>
      <c r="Y21" s="11">
        <v>0</v>
      </c>
      <c r="Z21" s="11">
        <v>0</v>
      </c>
      <c r="AA21" s="11">
        <v>3.1952819288053129E-3</v>
      </c>
      <c r="AB21" s="11">
        <v>2.4561027254865588E-3</v>
      </c>
      <c r="AC21" s="11">
        <v>1.23196533886459E-3</v>
      </c>
      <c r="AD21" s="11">
        <v>4.1769402237756747E-3</v>
      </c>
      <c r="AE21" s="11">
        <v>4.1769402237756747E-3</v>
      </c>
      <c r="AF21" s="11">
        <v>5.1601444454051583E-3</v>
      </c>
      <c r="AG21" s="11">
        <v>8.1632447469684698E-3</v>
      </c>
      <c r="AH21" s="11">
        <v>4.9082914748518067E-3</v>
      </c>
      <c r="AI21" s="11">
        <v>7.1234610353458801E-3</v>
      </c>
      <c r="AJ21" s="11">
        <v>4.9082914748518067E-3</v>
      </c>
      <c r="AK21" s="11">
        <v>1.9633165899407231E-3</v>
      </c>
      <c r="AL21" s="11">
        <v>1.428590458202304E-3</v>
      </c>
      <c r="AM21" s="11">
        <v>1.0981080844114019E-3</v>
      </c>
      <c r="AN21" s="11">
        <v>5.508039563181708E-4</v>
      </c>
      <c r="AO21" s="11">
        <v>1.8674837091443709E-3</v>
      </c>
      <c r="AP21" s="11">
        <v>1.8674837091443709E-3</v>
      </c>
      <c r="AQ21" s="11">
        <v>2.3070681341748312E-3</v>
      </c>
      <c r="AR21" s="11">
        <v>3.6497353952893701E-3</v>
      </c>
      <c r="AS21" s="11">
        <v>2.1944662547103331E-3</v>
      </c>
      <c r="AT21" s="11">
        <v>3.184854636058965E-3</v>
      </c>
      <c r="AU21" s="11">
        <v>2.1944662547103331E-3</v>
      </c>
      <c r="AV21" s="11">
        <v>8.777865018841334E-4</v>
      </c>
      <c r="AW21" s="11">
        <v>2</v>
      </c>
      <c r="AX21" s="11">
        <v>6</v>
      </c>
      <c r="AY21" s="11">
        <v>6</v>
      </c>
      <c r="AZ21" s="11">
        <v>2</v>
      </c>
      <c r="BA21" s="11">
        <v>2</v>
      </c>
      <c r="BB21" s="11">
        <v>2</v>
      </c>
      <c r="BC21" s="11">
        <v>6</v>
      </c>
      <c r="BD21" s="11">
        <v>2</v>
      </c>
      <c r="BE21" s="11">
        <v>2</v>
      </c>
      <c r="BF21" s="11">
        <v>4</v>
      </c>
      <c r="BG21" s="11">
        <v>0</v>
      </c>
      <c r="BH21" s="11">
        <v>3</v>
      </c>
      <c r="BI21" s="11">
        <v>3</v>
      </c>
      <c r="BJ21" s="11">
        <v>3</v>
      </c>
      <c r="BK21" s="11">
        <v>-6</v>
      </c>
      <c r="BL21" s="11">
        <v>-12</v>
      </c>
      <c r="BM21" s="11">
        <v>-12</v>
      </c>
      <c r="BN21" s="11">
        <v>-12</v>
      </c>
      <c r="BO21" s="11">
        <v>3</v>
      </c>
      <c r="BP21" s="11">
        <v>-9</v>
      </c>
      <c r="BQ21" s="11">
        <v>6</v>
      </c>
      <c r="BR21" s="11">
        <v>0</v>
      </c>
      <c r="BS21" s="11">
        <v>9</v>
      </c>
      <c r="BT21" s="11">
        <v>3</v>
      </c>
      <c r="BU21" s="11">
        <v>12</v>
      </c>
      <c r="BV21" s="11">
        <v>-12</v>
      </c>
      <c r="BW21" s="11">
        <v>-12</v>
      </c>
      <c r="BX21" s="11">
        <v>-12</v>
      </c>
      <c r="BY21" s="11">
        <v>-12</v>
      </c>
      <c r="BZ21" s="11">
        <v>3</v>
      </c>
      <c r="CA21" s="11">
        <v>-12</v>
      </c>
      <c r="CB21" s="11">
        <v>6</v>
      </c>
      <c r="CC21" s="11">
        <v>0</v>
      </c>
    </row>
    <row r="22" spans="1:81" x14ac:dyDescent="0.2">
      <c r="A22" t="s">
        <v>22</v>
      </c>
      <c r="B22" t="s">
        <v>25</v>
      </c>
      <c r="C22">
        <v>2874160</v>
      </c>
      <c r="D22">
        <v>21</v>
      </c>
      <c r="E22" s="12">
        <v>627694.72556799999</v>
      </c>
      <c r="F22" s="12">
        <f>paddock_data!G23</f>
        <v>9923.8078340356751</v>
      </c>
      <c r="G22" s="12">
        <v>1151686.338421968</v>
      </c>
      <c r="H22" s="12">
        <v>627694.72556799999</v>
      </c>
      <c r="I22" s="12">
        <v>1220095.242936</v>
      </c>
      <c r="J22" s="12">
        <v>1222477.4718180001</v>
      </c>
      <c r="K22" s="12">
        <v>2070067.2558180001</v>
      </c>
      <c r="L22" s="12">
        <v>630076.95444999996</v>
      </c>
      <c r="M22" s="12">
        <v>630076.95444999996</v>
      </c>
      <c r="N22" s="12">
        <v>867492.67116799997</v>
      </c>
      <c r="O22" s="11">
        <v>0</v>
      </c>
      <c r="P22" s="11">
        <v>0.42371885810937499</v>
      </c>
      <c r="Q22" s="11">
        <v>0.1694875432437499</v>
      </c>
      <c r="R22" s="11">
        <v>0.42371885810937499</v>
      </c>
      <c r="S22" s="11">
        <v>0.42371885810937499</v>
      </c>
      <c r="T22" s="11">
        <v>0.42371885810937499</v>
      </c>
      <c r="U22" s="11">
        <v>0.42372524790298371</v>
      </c>
      <c r="V22" s="11">
        <v>0.44272070952068721</v>
      </c>
      <c r="W22" s="11">
        <v>0.42372524790298371</v>
      </c>
      <c r="X22" s="11">
        <v>0.42372524790298371</v>
      </c>
      <c r="Y22" s="11">
        <v>0</v>
      </c>
      <c r="Z22" s="11">
        <v>0</v>
      </c>
      <c r="AA22" s="11">
        <v>1.160673637483031E-2</v>
      </c>
      <c r="AB22" s="11">
        <v>8.4122624026183122E-3</v>
      </c>
      <c r="AC22" s="11">
        <v>5.3241232870200007E-3</v>
      </c>
      <c r="AD22" s="11">
        <v>1.4748042918735471E-2</v>
      </c>
      <c r="AE22" s="11">
        <v>1.4748042918735471E-2</v>
      </c>
      <c r="AF22" s="11">
        <v>1.7889429751842531E-2</v>
      </c>
      <c r="AG22" s="11">
        <v>2.7552031655094771E-2</v>
      </c>
      <c r="AH22" s="11">
        <v>1.5706532719525781E-2</v>
      </c>
      <c r="AI22" s="11">
        <v>2.4172042839652848E-2</v>
      </c>
      <c r="AJ22" s="11">
        <v>1.5706532719525781E-2</v>
      </c>
      <c r="AK22" s="11">
        <v>6.2826130878103131E-3</v>
      </c>
      <c r="AL22" s="11">
        <v>0.42126608012531302</v>
      </c>
      <c r="AM22" s="11">
        <v>0.30532276196273761</v>
      </c>
      <c r="AN22" s="11">
        <v>0.19323886360429229</v>
      </c>
      <c r="AO22" s="11">
        <v>0.5352796883858234</v>
      </c>
      <c r="AP22" s="11">
        <v>0.5352796883858234</v>
      </c>
      <c r="AQ22" s="11">
        <v>0.64929621074003518</v>
      </c>
      <c r="AR22" s="11">
        <v>1</v>
      </c>
      <c r="AS22" s="11">
        <v>0.57006804130255195</v>
      </c>
      <c r="AT22" s="11">
        <v>0.87732342726105594</v>
      </c>
      <c r="AU22" s="11">
        <v>0.57006804130255195</v>
      </c>
      <c r="AV22" s="11">
        <v>0.22802721652102079</v>
      </c>
      <c r="AW22" s="11">
        <v>2</v>
      </c>
      <c r="AX22" s="11">
        <v>6</v>
      </c>
      <c r="AY22" s="11">
        <v>6</v>
      </c>
      <c r="AZ22" s="11">
        <v>2</v>
      </c>
      <c r="BA22" s="11">
        <v>2</v>
      </c>
      <c r="BB22" s="11">
        <v>2</v>
      </c>
      <c r="BC22" s="11">
        <v>6</v>
      </c>
      <c r="BD22" s="11">
        <v>2</v>
      </c>
      <c r="BE22" s="11">
        <v>2</v>
      </c>
      <c r="BF22" s="11">
        <v>4</v>
      </c>
      <c r="BG22" s="11">
        <v>0</v>
      </c>
      <c r="BH22" s="11">
        <v>3</v>
      </c>
      <c r="BI22" s="11">
        <v>3</v>
      </c>
      <c r="BJ22" s="11">
        <v>3</v>
      </c>
      <c r="BK22" s="11">
        <v>-6</v>
      </c>
      <c r="BL22" s="11">
        <v>-12</v>
      </c>
      <c r="BM22" s="11">
        <v>-12</v>
      </c>
      <c r="BN22" s="11">
        <v>-12</v>
      </c>
      <c r="BO22" s="11">
        <v>3</v>
      </c>
      <c r="BP22" s="11">
        <v>-9</v>
      </c>
      <c r="BQ22" s="11">
        <v>6</v>
      </c>
      <c r="BR22" s="11">
        <v>0</v>
      </c>
      <c r="BS22" s="11">
        <v>9</v>
      </c>
      <c r="BT22" s="11">
        <v>3</v>
      </c>
      <c r="BU22" s="11">
        <v>12</v>
      </c>
      <c r="BV22" s="11">
        <v>-12</v>
      </c>
      <c r="BW22" s="11">
        <v>-12</v>
      </c>
      <c r="BX22" s="11">
        <v>-12</v>
      </c>
      <c r="BY22" s="11">
        <v>-12</v>
      </c>
      <c r="BZ22" s="11">
        <v>3</v>
      </c>
      <c r="CA22" s="11">
        <v>-12</v>
      </c>
      <c r="CB22" s="11">
        <v>6</v>
      </c>
      <c r="CC22" s="11">
        <v>0</v>
      </c>
    </row>
    <row r="23" spans="1:81" x14ac:dyDescent="0.2">
      <c r="A23" t="s">
        <v>22</v>
      </c>
      <c r="B23" t="s">
        <v>25</v>
      </c>
      <c r="C23">
        <v>3550930</v>
      </c>
      <c r="D23">
        <v>22</v>
      </c>
      <c r="E23" s="12">
        <v>652397.94856299995</v>
      </c>
      <c r="F23" s="12">
        <f>paddock_data!G24</f>
        <v>12260.537670871594</v>
      </c>
      <c r="G23" s="12">
        <v>1195902.247411968</v>
      </c>
      <c r="H23" s="12">
        <v>652397.94856299995</v>
      </c>
      <c r="I23" s="12">
        <v>1266906.4204259999</v>
      </c>
      <c r="J23" s="12">
        <v>1267917.2047939999</v>
      </c>
      <c r="K23" s="12">
        <v>2315086.4617940001</v>
      </c>
      <c r="L23" s="12">
        <v>653408.73293099995</v>
      </c>
      <c r="M23" s="12">
        <v>653408.73293099995</v>
      </c>
      <c r="N23" s="12">
        <v>965669.5736629999</v>
      </c>
      <c r="O23" s="11">
        <v>0</v>
      </c>
      <c r="P23" s="11">
        <v>0.43846767961694327</v>
      </c>
      <c r="Q23" s="11">
        <v>0.17538707184677721</v>
      </c>
      <c r="R23" s="11">
        <v>0.43846767961694327</v>
      </c>
      <c r="S23" s="11">
        <v>0.43846767961694327</v>
      </c>
      <c r="T23" s="11">
        <v>0.43846767961694327</v>
      </c>
      <c r="U23" s="11">
        <v>0.43846767664764658</v>
      </c>
      <c r="V23" s="11">
        <v>0.55906795263367903</v>
      </c>
      <c r="W23" s="11">
        <v>0.43846767664764658</v>
      </c>
      <c r="X23" s="11">
        <v>0.43846767664764658</v>
      </c>
      <c r="Y23" s="11">
        <v>0</v>
      </c>
      <c r="Z23" s="11">
        <v>0</v>
      </c>
      <c r="AA23" s="11">
        <v>4.4220219948362879E-3</v>
      </c>
      <c r="AB23" s="11">
        <v>3.1823967426918352E-3</v>
      </c>
      <c r="AC23" s="11">
        <v>2.0660420869074211E-3</v>
      </c>
      <c r="AD23" s="11">
        <v>5.6000119488007214E-3</v>
      </c>
      <c r="AE23" s="11">
        <v>5.6000119488007214E-3</v>
      </c>
      <c r="AF23" s="11">
        <v>6.7780018887739482E-3</v>
      </c>
      <c r="AG23" s="11">
        <v>1.088023540489479E-2</v>
      </c>
      <c r="AH23" s="11">
        <v>5.889949769822168E-3</v>
      </c>
      <c r="AI23" s="11">
        <v>9.1339817967028159E-3</v>
      </c>
      <c r="AJ23" s="11">
        <v>5.889949769822168E-3</v>
      </c>
      <c r="AK23" s="11">
        <v>2.3559799079288669E-3</v>
      </c>
      <c r="AL23" s="11">
        <v>0.1119755416347397</v>
      </c>
      <c r="AM23" s="11">
        <v>8.058544244593753E-2</v>
      </c>
      <c r="AN23" s="11">
        <v>5.2316831981336923E-2</v>
      </c>
      <c r="AO23" s="11">
        <v>0.14180489646144109</v>
      </c>
      <c r="AP23" s="11">
        <v>0.14180489646144109</v>
      </c>
      <c r="AQ23" s="11">
        <v>0.1716342509338537</v>
      </c>
      <c r="AR23" s="11">
        <v>0.27551202911229983</v>
      </c>
      <c r="AS23" s="11">
        <v>0.14914677413350699</v>
      </c>
      <c r="AT23" s="11">
        <v>0.2312929605872564</v>
      </c>
      <c r="AU23" s="11">
        <v>0.14914677413350699</v>
      </c>
      <c r="AV23" s="11">
        <v>5.9658709653402787E-2</v>
      </c>
      <c r="AW23" s="11">
        <v>2</v>
      </c>
      <c r="AX23" s="11">
        <v>6</v>
      </c>
      <c r="AY23" s="11">
        <v>6</v>
      </c>
      <c r="AZ23" s="11">
        <v>2</v>
      </c>
      <c r="BA23" s="11">
        <v>2</v>
      </c>
      <c r="BB23" s="11">
        <v>2</v>
      </c>
      <c r="BC23" s="11">
        <v>6</v>
      </c>
      <c r="BD23" s="11">
        <v>2</v>
      </c>
      <c r="BE23" s="11">
        <v>2</v>
      </c>
      <c r="BF23" s="11">
        <v>4</v>
      </c>
      <c r="BG23" s="11">
        <v>0</v>
      </c>
      <c r="BH23" s="11">
        <v>3</v>
      </c>
      <c r="BI23" s="11">
        <v>3</v>
      </c>
      <c r="BJ23" s="11">
        <v>3</v>
      </c>
      <c r="BK23" s="11">
        <v>-6</v>
      </c>
      <c r="BL23" s="11">
        <v>-12</v>
      </c>
      <c r="BM23" s="11">
        <v>-12</v>
      </c>
      <c r="BN23" s="11">
        <v>-12</v>
      </c>
      <c r="BO23" s="11">
        <v>3</v>
      </c>
      <c r="BP23" s="11">
        <v>-9</v>
      </c>
      <c r="BQ23" s="11">
        <v>6</v>
      </c>
      <c r="BR23" s="11">
        <v>0</v>
      </c>
      <c r="BS23" s="11">
        <v>9</v>
      </c>
      <c r="BT23" s="11">
        <v>3</v>
      </c>
      <c r="BU23" s="11">
        <v>12</v>
      </c>
      <c r="BV23" s="11">
        <v>-12</v>
      </c>
      <c r="BW23" s="11">
        <v>-12</v>
      </c>
      <c r="BX23" s="11">
        <v>-12</v>
      </c>
      <c r="BY23" s="11">
        <v>-12</v>
      </c>
      <c r="BZ23" s="11">
        <v>3</v>
      </c>
      <c r="CA23" s="11">
        <v>-12</v>
      </c>
      <c r="CB23" s="11">
        <v>6</v>
      </c>
      <c r="CC23" s="11">
        <v>0</v>
      </c>
    </row>
  </sheetData>
  <conditionalFormatting sqref="E2:E13 G2:N13 O2:O23">
    <cfRule type="colorScale" priority="14">
      <colorScale>
        <cfvo type="min"/>
        <cfvo type="max"/>
        <color rgb="FFFCFCFF"/>
        <color rgb="FFF8696B"/>
      </colorScale>
    </cfRule>
  </conditionalFormatting>
  <conditionalFormatting sqref="E2:E23 G2:O2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O2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Z13">
    <cfRule type="colorScale" priority="10">
      <colorScale>
        <cfvo type="min"/>
        <cfvo type="max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Z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K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K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V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V2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:BG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:BR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:CC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48D9-BCCC-B14E-B71D-2D4A73A9053F}">
  <dimension ref="A3:G4"/>
  <sheetViews>
    <sheetView workbookViewId="0">
      <selection activeCell="A3" sqref="A3"/>
    </sheetView>
  </sheetViews>
  <sheetFormatPr baseColWidth="10" defaultRowHeight="15" x14ac:dyDescent="0.2"/>
  <cols>
    <col min="1" max="1" width="16.6640625" bestFit="1" customWidth="1"/>
    <col min="2" max="2" width="21" bestFit="1" customWidth="1"/>
    <col min="3" max="3" width="19.83203125" bestFit="1" customWidth="1"/>
    <col min="4" max="4" width="23.1640625" bestFit="1" customWidth="1"/>
    <col min="5" max="5" width="18.33203125" bestFit="1" customWidth="1"/>
    <col min="6" max="7" width="15.83203125" bestFit="1" customWidth="1"/>
  </cols>
  <sheetData>
    <row r="3" spans="1:7" x14ac:dyDescent="0.2">
      <c r="A3" t="s">
        <v>262</v>
      </c>
      <c r="B3" t="s">
        <v>261</v>
      </c>
      <c r="C3" t="s">
        <v>260</v>
      </c>
      <c r="D3" t="s">
        <v>259</v>
      </c>
      <c r="E3" t="s">
        <v>258</v>
      </c>
      <c r="F3" t="s">
        <v>257</v>
      </c>
      <c r="G3" t="s">
        <v>256</v>
      </c>
    </row>
    <row r="4" spans="1:7" x14ac:dyDescent="0.2">
      <c r="A4" s="12">
        <v>0</v>
      </c>
      <c r="B4" s="12">
        <v>0</v>
      </c>
      <c r="C4" s="12">
        <v>0</v>
      </c>
      <c r="D4" s="12">
        <v>0</v>
      </c>
      <c r="E4" s="12">
        <v>0.64097802712272955</v>
      </c>
      <c r="F4" s="12">
        <v>0.39776794112199049</v>
      </c>
      <c r="G4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X43"/>
  <sheetViews>
    <sheetView topLeftCell="A11" workbookViewId="0">
      <selection activeCell="B2" sqref="B2"/>
    </sheetView>
  </sheetViews>
  <sheetFormatPr baseColWidth="10" defaultColWidth="8.83203125" defaultRowHeight="15" x14ac:dyDescent="0.2"/>
  <sheetData>
    <row r="1" spans="2:76" x14ac:dyDescent="0.2">
      <c r="C1" s="13" t="s">
        <v>4</v>
      </c>
      <c r="D1" s="14"/>
      <c r="E1" s="14"/>
      <c r="F1" s="14"/>
      <c r="G1" s="14"/>
      <c r="H1" s="14"/>
      <c r="I1" s="14"/>
      <c r="J1" s="14"/>
      <c r="K1" s="14"/>
      <c r="L1" s="14"/>
      <c r="M1" s="14"/>
      <c r="P1" s="13" t="s">
        <v>5</v>
      </c>
      <c r="Q1" s="14"/>
      <c r="R1" s="14"/>
      <c r="S1" s="14"/>
      <c r="T1" s="14"/>
      <c r="U1" s="14"/>
      <c r="V1" s="14"/>
      <c r="W1" s="14"/>
      <c r="X1" s="14"/>
      <c r="Y1" s="14"/>
      <c r="Z1" s="14"/>
      <c r="AC1" s="13" t="s">
        <v>6</v>
      </c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2:76" x14ac:dyDescent="0.2"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20</v>
      </c>
      <c r="AP2" t="s">
        <v>11</v>
      </c>
      <c r="AQ2" t="s">
        <v>12</v>
      </c>
      <c r="AR2" t="s">
        <v>13</v>
      </c>
      <c r="AS2" t="s">
        <v>14</v>
      </c>
      <c r="AT2" t="s">
        <v>15</v>
      </c>
      <c r="AU2" t="s">
        <v>16</v>
      </c>
      <c r="AV2" t="s">
        <v>17</v>
      </c>
      <c r="AW2" t="s">
        <v>18</v>
      </c>
      <c r="AX2" t="s">
        <v>19</v>
      </c>
      <c r="AY2" t="s">
        <v>20</v>
      </c>
      <c r="AZ2" t="s">
        <v>21</v>
      </c>
      <c r="BB2" t="s">
        <v>11</v>
      </c>
      <c r="BC2" t="s">
        <v>12</v>
      </c>
      <c r="BD2" t="s">
        <v>13</v>
      </c>
      <c r="BE2" t="s">
        <v>14</v>
      </c>
      <c r="BF2" t="s">
        <v>15</v>
      </c>
      <c r="BG2" t="s">
        <v>16</v>
      </c>
      <c r="BH2" t="s">
        <v>17</v>
      </c>
      <c r="BI2" t="s">
        <v>18</v>
      </c>
      <c r="BJ2" t="s">
        <v>19</v>
      </c>
      <c r="BK2" t="s">
        <v>20</v>
      </c>
      <c r="BN2" t="s">
        <v>11</v>
      </c>
      <c r="BO2" t="s">
        <v>12</v>
      </c>
      <c r="BP2" t="s">
        <v>13</v>
      </c>
      <c r="BQ2" t="s">
        <v>14</v>
      </c>
      <c r="BR2" t="s">
        <v>15</v>
      </c>
      <c r="BS2" t="s">
        <v>16</v>
      </c>
      <c r="BT2" t="s">
        <v>17</v>
      </c>
      <c r="BU2" t="s">
        <v>18</v>
      </c>
      <c r="BV2" t="s">
        <v>19</v>
      </c>
      <c r="BW2" t="s">
        <v>20</v>
      </c>
    </row>
    <row r="3" spans="2:76" x14ac:dyDescent="0.2">
      <c r="B3" t="s">
        <v>23</v>
      </c>
      <c r="C3" s="1">
        <v>3</v>
      </c>
      <c r="D3" s="1">
        <v>9</v>
      </c>
      <c r="E3" s="1">
        <v>9</v>
      </c>
      <c r="F3" s="1">
        <v>3</v>
      </c>
      <c r="G3" s="1">
        <v>3</v>
      </c>
      <c r="H3" s="1">
        <v>3</v>
      </c>
      <c r="I3" s="1">
        <v>9</v>
      </c>
      <c r="J3" s="1">
        <v>3</v>
      </c>
      <c r="K3" s="1">
        <v>3</v>
      </c>
      <c r="L3" s="1">
        <v>6</v>
      </c>
      <c r="M3" s="1">
        <v>0</v>
      </c>
      <c r="N3" s="1">
        <v>18</v>
      </c>
      <c r="O3" s="1"/>
      <c r="P3" s="1">
        <v>1</v>
      </c>
      <c r="Q3" s="1">
        <v>1</v>
      </c>
      <c r="R3" s="1">
        <v>1</v>
      </c>
      <c r="S3" s="1">
        <v>-2</v>
      </c>
      <c r="T3" s="1">
        <v>-4</v>
      </c>
      <c r="U3" s="1">
        <v>-4</v>
      </c>
      <c r="V3" s="1">
        <v>-4</v>
      </c>
      <c r="W3" s="1">
        <v>1</v>
      </c>
      <c r="X3" s="1">
        <v>-3</v>
      </c>
      <c r="Y3" s="1">
        <v>2</v>
      </c>
      <c r="Z3" s="1">
        <v>0</v>
      </c>
      <c r="AA3" s="1">
        <v>3</v>
      </c>
      <c r="AC3" s="1">
        <v>3</v>
      </c>
      <c r="AD3" s="1">
        <v>1</v>
      </c>
      <c r="AE3" s="1">
        <v>4</v>
      </c>
      <c r="AF3" s="1">
        <v>-4</v>
      </c>
      <c r="AG3" s="1">
        <v>-4</v>
      </c>
      <c r="AH3" s="1">
        <v>-4</v>
      </c>
      <c r="AI3" s="1">
        <v>-4</v>
      </c>
      <c r="AJ3" s="1">
        <v>1</v>
      </c>
      <c r="AK3" s="1">
        <v>-4</v>
      </c>
      <c r="AL3" s="1">
        <v>2</v>
      </c>
      <c r="AM3" s="1">
        <v>0</v>
      </c>
      <c r="AN3" s="1">
        <v>5</v>
      </c>
      <c r="AP3" s="1">
        <v>0.33333333333333331</v>
      </c>
      <c r="AQ3" s="1">
        <v>1</v>
      </c>
      <c r="AR3" s="1">
        <v>1</v>
      </c>
      <c r="AS3" s="1">
        <v>0.33333333333333331</v>
      </c>
      <c r="AT3" s="1">
        <v>0.33333333333333331</v>
      </c>
      <c r="AU3" s="1">
        <v>0.33333333333333331</v>
      </c>
      <c r="AV3" s="1">
        <v>1</v>
      </c>
      <c r="AW3" s="1">
        <v>0.33333333333333331</v>
      </c>
      <c r="AX3" s="1">
        <v>0.33333333333333331</v>
      </c>
      <c r="AY3" s="1">
        <v>0.66666666666666663</v>
      </c>
      <c r="AZ3" s="1">
        <v>0</v>
      </c>
      <c r="BB3" s="1">
        <v>0.16666666666666671</v>
      </c>
      <c r="BC3" s="1">
        <v>0.16666666666666671</v>
      </c>
      <c r="BD3" s="1">
        <v>0.16666666666666671</v>
      </c>
      <c r="BE3" s="1">
        <v>-0.33333333333333331</v>
      </c>
      <c r="BF3" s="1">
        <v>-0.66666666666666663</v>
      </c>
      <c r="BG3" s="1">
        <v>-0.66666666666666663</v>
      </c>
      <c r="BH3" s="1">
        <v>-0.66666666666666663</v>
      </c>
      <c r="BI3" s="1">
        <v>0.16666666666666671</v>
      </c>
      <c r="BJ3" s="1">
        <v>-0.5</v>
      </c>
      <c r="BK3" s="1">
        <v>0.33333333333333331</v>
      </c>
      <c r="BL3" s="1">
        <v>0</v>
      </c>
      <c r="BN3" s="1">
        <v>0.25</v>
      </c>
      <c r="BO3" s="1">
        <v>8.3333333333333329E-2</v>
      </c>
      <c r="BP3" s="1">
        <v>0.33333333333333331</v>
      </c>
      <c r="BQ3" s="1">
        <v>-0.33333333333333331</v>
      </c>
      <c r="BR3" s="1">
        <v>-0.33333333333333331</v>
      </c>
      <c r="BS3" s="1">
        <v>-0.33333333333333331</v>
      </c>
      <c r="BT3" s="1">
        <v>-0.33333333333333331</v>
      </c>
      <c r="BU3" s="1">
        <v>8.3333333333333329E-2</v>
      </c>
      <c r="BV3" s="1">
        <v>-0.33333333333333331</v>
      </c>
      <c r="BW3" s="1">
        <v>0.16666666666666671</v>
      </c>
      <c r="BX3" s="1">
        <v>0</v>
      </c>
    </row>
    <row r="4" spans="2:76" x14ac:dyDescent="0.2">
      <c r="B4" t="s">
        <v>23</v>
      </c>
      <c r="C4" s="1">
        <v>3</v>
      </c>
      <c r="D4" s="1">
        <v>9</v>
      </c>
      <c r="E4" s="1">
        <v>9</v>
      </c>
      <c r="F4" s="1">
        <v>3</v>
      </c>
      <c r="G4" s="1">
        <v>3</v>
      </c>
      <c r="H4" s="1">
        <v>3</v>
      </c>
      <c r="I4" s="1">
        <v>9</v>
      </c>
      <c r="J4" s="1">
        <v>3</v>
      </c>
      <c r="K4" s="1">
        <v>3</v>
      </c>
      <c r="L4" s="1">
        <v>6</v>
      </c>
      <c r="M4" s="1">
        <v>0</v>
      </c>
      <c r="N4" s="1">
        <v>18</v>
      </c>
      <c r="O4" s="1"/>
      <c r="P4" s="1">
        <v>1</v>
      </c>
      <c r="Q4" s="1">
        <v>1</v>
      </c>
      <c r="R4" s="1">
        <v>1</v>
      </c>
      <c r="S4" s="1">
        <v>-2</v>
      </c>
      <c r="T4" s="1">
        <v>-4</v>
      </c>
      <c r="U4" s="1">
        <v>-4</v>
      </c>
      <c r="V4" s="1">
        <v>-4</v>
      </c>
      <c r="W4" s="1">
        <v>1</v>
      </c>
      <c r="X4" s="1">
        <v>-3</v>
      </c>
      <c r="Y4" s="1">
        <v>2</v>
      </c>
      <c r="Z4" s="1">
        <v>0</v>
      </c>
      <c r="AA4" s="1">
        <v>3</v>
      </c>
      <c r="AC4" s="1">
        <v>3</v>
      </c>
      <c r="AD4" s="1">
        <v>1</v>
      </c>
      <c r="AE4" s="1">
        <v>4</v>
      </c>
      <c r="AF4" s="1">
        <v>-4</v>
      </c>
      <c r="AG4" s="1">
        <v>-4</v>
      </c>
      <c r="AH4" s="1">
        <v>-4</v>
      </c>
      <c r="AI4" s="1">
        <v>-4</v>
      </c>
      <c r="AJ4" s="1">
        <v>1</v>
      </c>
      <c r="AK4" s="1">
        <v>-4</v>
      </c>
      <c r="AL4" s="1">
        <v>2</v>
      </c>
      <c r="AM4" s="1">
        <v>0</v>
      </c>
      <c r="AN4" s="1">
        <v>5</v>
      </c>
      <c r="AP4" s="1">
        <v>0.33333333333333331</v>
      </c>
      <c r="AQ4" s="1">
        <v>1</v>
      </c>
      <c r="AR4" s="1">
        <v>1</v>
      </c>
      <c r="AS4" s="1">
        <v>0.33333333333333331</v>
      </c>
      <c r="AT4" s="1">
        <v>0.33333333333333331</v>
      </c>
      <c r="AU4" s="1">
        <v>0.33333333333333331</v>
      </c>
      <c r="AV4" s="1">
        <v>1</v>
      </c>
      <c r="AW4" s="1">
        <v>0.33333333333333331</v>
      </c>
      <c r="AX4" s="1">
        <v>0.33333333333333331</v>
      </c>
      <c r="AY4" s="1">
        <v>0.66666666666666663</v>
      </c>
      <c r="AZ4" s="1">
        <v>0</v>
      </c>
      <c r="BB4" s="1">
        <v>0.16666666666666671</v>
      </c>
      <c r="BC4" s="1">
        <v>0.16666666666666671</v>
      </c>
      <c r="BD4" s="1">
        <v>0.16666666666666671</v>
      </c>
      <c r="BE4" s="1">
        <v>-0.33333333333333331</v>
      </c>
      <c r="BF4" s="1">
        <v>-0.66666666666666663</v>
      </c>
      <c r="BG4" s="1">
        <v>-0.66666666666666663</v>
      </c>
      <c r="BH4" s="1">
        <v>-0.66666666666666663</v>
      </c>
      <c r="BI4" s="1">
        <v>0.16666666666666671</v>
      </c>
      <c r="BJ4" s="1">
        <v>-0.5</v>
      </c>
      <c r="BK4" s="1">
        <v>0.33333333333333331</v>
      </c>
      <c r="BL4" s="1">
        <v>0</v>
      </c>
      <c r="BN4" s="1">
        <v>0.25</v>
      </c>
      <c r="BO4" s="1">
        <v>8.3333333333333329E-2</v>
      </c>
      <c r="BP4" s="1">
        <v>0.33333333333333331</v>
      </c>
      <c r="BQ4" s="1">
        <v>-0.33333333333333331</v>
      </c>
      <c r="BR4" s="1">
        <v>-0.33333333333333331</v>
      </c>
      <c r="BS4" s="1">
        <v>-0.33333333333333331</v>
      </c>
      <c r="BT4" s="1">
        <v>-0.33333333333333331</v>
      </c>
      <c r="BU4" s="1">
        <v>8.3333333333333329E-2</v>
      </c>
      <c r="BV4" s="1">
        <v>-0.33333333333333331</v>
      </c>
      <c r="BW4" s="1">
        <v>0.16666666666666671</v>
      </c>
      <c r="BX4" s="1">
        <v>0</v>
      </c>
    </row>
    <row r="5" spans="2:76" x14ac:dyDescent="0.2">
      <c r="B5" t="s">
        <v>23</v>
      </c>
      <c r="C5" s="1">
        <v>3</v>
      </c>
      <c r="D5" s="1">
        <v>9</v>
      </c>
      <c r="E5" s="1">
        <v>9</v>
      </c>
      <c r="F5" s="1">
        <v>3</v>
      </c>
      <c r="G5" s="1">
        <v>3</v>
      </c>
      <c r="H5" s="1">
        <v>3</v>
      </c>
      <c r="I5" s="1">
        <v>9</v>
      </c>
      <c r="J5" s="1">
        <v>3</v>
      </c>
      <c r="K5" s="1">
        <v>3</v>
      </c>
      <c r="L5" s="1">
        <v>6</v>
      </c>
      <c r="M5" s="1">
        <v>0</v>
      </c>
      <c r="N5" s="1">
        <v>18</v>
      </c>
      <c r="O5" s="1"/>
      <c r="P5" s="1">
        <v>1</v>
      </c>
      <c r="Q5" s="1">
        <v>1</v>
      </c>
      <c r="R5" s="1">
        <v>1</v>
      </c>
      <c r="S5" s="1">
        <v>-2</v>
      </c>
      <c r="T5" s="1">
        <v>-4</v>
      </c>
      <c r="U5" s="1">
        <v>-4</v>
      </c>
      <c r="V5" s="1">
        <v>-4</v>
      </c>
      <c r="W5" s="1">
        <v>1</v>
      </c>
      <c r="X5" s="1">
        <v>-3</v>
      </c>
      <c r="Y5" s="1">
        <v>2</v>
      </c>
      <c r="Z5" s="1">
        <v>0</v>
      </c>
      <c r="AA5" s="1">
        <v>3</v>
      </c>
      <c r="AC5" s="1">
        <v>3</v>
      </c>
      <c r="AD5" s="1">
        <v>1</v>
      </c>
      <c r="AE5" s="1">
        <v>4</v>
      </c>
      <c r="AF5" s="1">
        <v>-4</v>
      </c>
      <c r="AG5" s="1">
        <v>-4</v>
      </c>
      <c r="AH5" s="1">
        <v>-4</v>
      </c>
      <c r="AI5" s="1">
        <v>-4</v>
      </c>
      <c r="AJ5" s="1">
        <v>1</v>
      </c>
      <c r="AK5" s="1">
        <v>-4</v>
      </c>
      <c r="AL5" s="1">
        <v>2</v>
      </c>
      <c r="AM5" s="1">
        <v>0</v>
      </c>
      <c r="AN5" s="1">
        <v>5</v>
      </c>
      <c r="AP5" s="1">
        <v>0.33333333333333331</v>
      </c>
      <c r="AQ5" s="1">
        <v>1</v>
      </c>
      <c r="AR5" s="1">
        <v>1</v>
      </c>
      <c r="AS5" s="1">
        <v>0.33333333333333331</v>
      </c>
      <c r="AT5" s="1">
        <v>0.33333333333333331</v>
      </c>
      <c r="AU5" s="1">
        <v>0.33333333333333331</v>
      </c>
      <c r="AV5" s="1">
        <v>1</v>
      </c>
      <c r="AW5" s="1">
        <v>0.33333333333333331</v>
      </c>
      <c r="AX5" s="1">
        <v>0.33333333333333331</v>
      </c>
      <c r="AY5" s="1">
        <v>0.66666666666666663</v>
      </c>
      <c r="AZ5" s="1">
        <v>0</v>
      </c>
      <c r="BB5" s="1">
        <v>0.16666666666666671</v>
      </c>
      <c r="BC5" s="1">
        <v>0.16666666666666671</v>
      </c>
      <c r="BD5" s="1">
        <v>0.16666666666666671</v>
      </c>
      <c r="BE5" s="1">
        <v>-0.33333333333333331</v>
      </c>
      <c r="BF5" s="1">
        <v>-0.66666666666666663</v>
      </c>
      <c r="BG5" s="1">
        <v>-0.66666666666666663</v>
      </c>
      <c r="BH5" s="1">
        <v>-0.66666666666666663</v>
      </c>
      <c r="BI5" s="1">
        <v>0.16666666666666671</v>
      </c>
      <c r="BJ5" s="1">
        <v>-0.5</v>
      </c>
      <c r="BK5" s="1">
        <v>0.33333333333333331</v>
      </c>
      <c r="BL5" s="1">
        <v>0</v>
      </c>
      <c r="BN5" s="1">
        <v>0.25</v>
      </c>
      <c r="BO5" s="1">
        <v>8.3333333333333329E-2</v>
      </c>
      <c r="BP5" s="1">
        <v>0.33333333333333331</v>
      </c>
      <c r="BQ5" s="1">
        <v>-0.33333333333333331</v>
      </c>
      <c r="BR5" s="1">
        <v>-0.33333333333333331</v>
      </c>
      <c r="BS5" s="1">
        <v>-0.33333333333333331</v>
      </c>
      <c r="BT5" s="1">
        <v>-0.33333333333333331</v>
      </c>
      <c r="BU5" s="1">
        <v>8.3333333333333329E-2</v>
      </c>
      <c r="BV5" s="1">
        <v>-0.33333333333333331</v>
      </c>
      <c r="BW5" s="1">
        <v>0.16666666666666671</v>
      </c>
      <c r="BX5" s="1">
        <v>0</v>
      </c>
    </row>
    <row r="6" spans="2:76" x14ac:dyDescent="0.2">
      <c r="B6" t="s">
        <v>23</v>
      </c>
      <c r="C6" s="1">
        <v>3</v>
      </c>
      <c r="D6" s="1">
        <v>9</v>
      </c>
      <c r="E6" s="1">
        <v>9</v>
      </c>
      <c r="F6" s="1">
        <v>3</v>
      </c>
      <c r="G6" s="1">
        <v>3</v>
      </c>
      <c r="H6" s="1">
        <v>3</v>
      </c>
      <c r="I6" s="1">
        <v>9</v>
      </c>
      <c r="J6" s="1">
        <v>3</v>
      </c>
      <c r="K6" s="1">
        <v>3</v>
      </c>
      <c r="L6" s="1">
        <v>6</v>
      </c>
      <c r="M6" s="1">
        <v>0</v>
      </c>
      <c r="N6" s="1">
        <v>18</v>
      </c>
      <c r="O6" s="1"/>
      <c r="P6" s="1">
        <v>1</v>
      </c>
      <c r="Q6" s="1">
        <v>1</v>
      </c>
      <c r="R6" s="1">
        <v>1</v>
      </c>
      <c r="S6" s="1">
        <v>-2</v>
      </c>
      <c r="T6" s="1">
        <v>-4</v>
      </c>
      <c r="U6" s="1">
        <v>-4</v>
      </c>
      <c r="V6" s="1">
        <v>-4</v>
      </c>
      <c r="W6" s="1">
        <v>1</v>
      </c>
      <c r="X6" s="1">
        <v>-3</v>
      </c>
      <c r="Y6" s="1">
        <v>2</v>
      </c>
      <c r="Z6" s="1">
        <v>0</v>
      </c>
      <c r="AA6" s="1">
        <v>3</v>
      </c>
      <c r="AC6" s="1">
        <v>3</v>
      </c>
      <c r="AD6" s="1">
        <v>1</v>
      </c>
      <c r="AE6" s="1">
        <v>4</v>
      </c>
      <c r="AF6" s="1">
        <v>-4</v>
      </c>
      <c r="AG6" s="1">
        <v>-4</v>
      </c>
      <c r="AH6" s="1">
        <v>-4</v>
      </c>
      <c r="AI6" s="1">
        <v>-4</v>
      </c>
      <c r="AJ6" s="1">
        <v>1</v>
      </c>
      <c r="AK6" s="1">
        <v>-4</v>
      </c>
      <c r="AL6" s="1">
        <v>2</v>
      </c>
      <c r="AM6" s="1">
        <v>0</v>
      </c>
      <c r="AN6" s="1">
        <v>5</v>
      </c>
      <c r="AP6" s="1">
        <v>0.33333333333333331</v>
      </c>
      <c r="AQ6" s="1">
        <v>1</v>
      </c>
      <c r="AR6" s="1">
        <v>1</v>
      </c>
      <c r="AS6" s="1">
        <v>0.33333333333333331</v>
      </c>
      <c r="AT6" s="1">
        <v>0.33333333333333331</v>
      </c>
      <c r="AU6" s="1">
        <v>0.33333333333333331</v>
      </c>
      <c r="AV6" s="1">
        <v>1</v>
      </c>
      <c r="AW6" s="1">
        <v>0.33333333333333331</v>
      </c>
      <c r="AX6" s="1">
        <v>0.33333333333333331</v>
      </c>
      <c r="AY6" s="1">
        <v>0.66666666666666663</v>
      </c>
      <c r="AZ6" s="1">
        <v>0</v>
      </c>
      <c r="BB6" s="1">
        <v>0.16666666666666671</v>
      </c>
      <c r="BC6" s="1">
        <v>0.16666666666666671</v>
      </c>
      <c r="BD6" s="1">
        <v>0.16666666666666671</v>
      </c>
      <c r="BE6" s="1">
        <v>-0.33333333333333331</v>
      </c>
      <c r="BF6" s="1">
        <v>-0.66666666666666663</v>
      </c>
      <c r="BG6" s="1">
        <v>-0.66666666666666663</v>
      </c>
      <c r="BH6" s="1">
        <v>-0.66666666666666663</v>
      </c>
      <c r="BI6" s="1">
        <v>0.16666666666666671</v>
      </c>
      <c r="BJ6" s="1">
        <v>-0.5</v>
      </c>
      <c r="BK6" s="1">
        <v>0.33333333333333331</v>
      </c>
      <c r="BL6" s="1">
        <v>0</v>
      </c>
      <c r="BN6" s="1">
        <v>0.25</v>
      </c>
      <c r="BO6" s="1">
        <v>8.3333333333333329E-2</v>
      </c>
      <c r="BP6" s="1">
        <v>0.33333333333333331</v>
      </c>
      <c r="BQ6" s="1">
        <v>-0.33333333333333331</v>
      </c>
      <c r="BR6" s="1">
        <v>-0.33333333333333331</v>
      </c>
      <c r="BS6" s="1">
        <v>-0.33333333333333331</v>
      </c>
      <c r="BT6" s="1">
        <v>-0.33333333333333331</v>
      </c>
      <c r="BU6" s="1">
        <v>8.3333333333333329E-2</v>
      </c>
      <c r="BV6" s="1">
        <v>-0.33333333333333331</v>
      </c>
      <c r="BW6" s="1">
        <v>0.16666666666666671</v>
      </c>
      <c r="BX6" s="1">
        <v>0</v>
      </c>
    </row>
    <row r="7" spans="2:76" x14ac:dyDescent="0.2">
      <c r="B7" t="s">
        <v>23</v>
      </c>
      <c r="C7" s="1">
        <v>3</v>
      </c>
      <c r="D7" s="1">
        <v>9</v>
      </c>
      <c r="E7" s="1">
        <v>9</v>
      </c>
      <c r="F7" s="1">
        <v>3</v>
      </c>
      <c r="G7" s="1">
        <v>3</v>
      </c>
      <c r="H7" s="1">
        <v>3</v>
      </c>
      <c r="I7" s="1">
        <v>9</v>
      </c>
      <c r="J7" s="1">
        <v>3</v>
      </c>
      <c r="K7" s="1">
        <v>3</v>
      </c>
      <c r="L7" s="1">
        <v>6</v>
      </c>
      <c r="M7" s="1">
        <v>0</v>
      </c>
      <c r="N7" s="1">
        <v>18</v>
      </c>
      <c r="O7" s="1"/>
      <c r="P7" s="1">
        <v>1</v>
      </c>
      <c r="Q7" s="1">
        <v>1</v>
      </c>
      <c r="R7" s="1">
        <v>1</v>
      </c>
      <c r="S7" s="1">
        <v>-2</v>
      </c>
      <c r="T7" s="1">
        <v>-4</v>
      </c>
      <c r="U7" s="1">
        <v>-4</v>
      </c>
      <c r="V7" s="1">
        <v>-4</v>
      </c>
      <c r="W7" s="1">
        <v>1</v>
      </c>
      <c r="X7" s="1">
        <v>-3</v>
      </c>
      <c r="Y7" s="1">
        <v>2</v>
      </c>
      <c r="Z7" s="1">
        <v>0</v>
      </c>
      <c r="AA7" s="1">
        <v>3</v>
      </c>
      <c r="AC7" s="1">
        <v>3</v>
      </c>
      <c r="AD7" s="1">
        <v>1</v>
      </c>
      <c r="AE7" s="1">
        <v>4</v>
      </c>
      <c r="AF7" s="1">
        <v>-4</v>
      </c>
      <c r="AG7" s="1">
        <v>-4</v>
      </c>
      <c r="AH7" s="1">
        <v>-4</v>
      </c>
      <c r="AI7" s="1">
        <v>-4</v>
      </c>
      <c r="AJ7" s="1">
        <v>1</v>
      </c>
      <c r="AK7" s="1">
        <v>-4</v>
      </c>
      <c r="AL7" s="1">
        <v>2</v>
      </c>
      <c r="AM7" s="1">
        <v>0</v>
      </c>
      <c r="AN7" s="1">
        <v>5</v>
      </c>
      <c r="AP7" s="1">
        <v>0.33333333333333331</v>
      </c>
      <c r="AQ7" s="1">
        <v>1</v>
      </c>
      <c r="AR7" s="1">
        <v>1</v>
      </c>
      <c r="AS7" s="1">
        <v>0.33333333333333331</v>
      </c>
      <c r="AT7" s="1">
        <v>0.33333333333333331</v>
      </c>
      <c r="AU7" s="1">
        <v>0.33333333333333331</v>
      </c>
      <c r="AV7" s="1">
        <v>1</v>
      </c>
      <c r="AW7" s="1">
        <v>0.33333333333333331</v>
      </c>
      <c r="AX7" s="1">
        <v>0.33333333333333331</v>
      </c>
      <c r="AY7" s="1">
        <v>0.66666666666666663</v>
      </c>
      <c r="AZ7" s="1">
        <v>0</v>
      </c>
      <c r="BB7" s="1">
        <v>0.16666666666666671</v>
      </c>
      <c r="BC7" s="1">
        <v>0.16666666666666671</v>
      </c>
      <c r="BD7" s="1">
        <v>0.16666666666666671</v>
      </c>
      <c r="BE7" s="1">
        <v>-0.33333333333333331</v>
      </c>
      <c r="BF7" s="1">
        <v>-0.66666666666666663</v>
      </c>
      <c r="BG7" s="1">
        <v>-0.66666666666666663</v>
      </c>
      <c r="BH7" s="1">
        <v>-0.66666666666666663</v>
      </c>
      <c r="BI7" s="1">
        <v>0.16666666666666671</v>
      </c>
      <c r="BJ7" s="1">
        <v>-0.5</v>
      </c>
      <c r="BK7" s="1">
        <v>0.33333333333333331</v>
      </c>
      <c r="BL7" s="1">
        <v>0</v>
      </c>
      <c r="BN7" s="1">
        <v>0.25</v>
      </c>
      <c r="BO7" s="1">
        <v>8.3333333333333329E-2</v>
      </c>
      <c r="BP7" s="1">
        <v>0.33333333333333331</v>
      </c>
      <c r="BQ7" s="1">
        <v>-0.33333333333333331</v>
      </c>
      <c r="BR7" s="1">
        <v>-0.33333333333333331</v>
      </c>
      <c r="BS7" s="1">
        <v>-0.33333333333333331</v>
      </c>
      <c r="BT7" s="1">
        <v>-0.33333333333333331</v>
      </c>
      <c r="BU7" s="1">
        <v>8.3333333333333329E-2</v>
      </c>
      <c r="BV7" s="1">
        <v>-0.33333333333333331</v>
      </c>
      <c r="BW7" s="1">
        <v>0.16666666666666671</v>
      </c>
      <c r="BX7" s="1">
        <v>0</v>
      </c>
    </row>
    <row r="8" spans="2:76" x14ac:dyDescent="0.2">
      <c r="B8" t="s">
        <v>23</v>
      </c>
      <c r="C8" s="1">
        <v>3</v>
      </c>
      <c r="D8" s="1">
        <v>9</v>
      </c>
      <c r="E8" s="1">
        <v>9</v>
      </c>
      <c r="F8" s="1">
        <v>3</v>
      </c>
      <c r="G8" s="1">
        <v>3</v>
      </c>
      <c r="H8" s="1">
        <v>3</v>
      </c>
      <c r="I8" s="1">
        <v>9</v>
      </c>
      <c r="J8" s="1">
        <v>3</v>
      </c>
      <c r="K8" s="1">
        <v>3</v>
      </c>
      <c r="L8" s="1">
        <v>6</v>
      </c>
      <c r="M8" s="1">
        <v>0</v>
      </c>
      <c r="N8" s="1">
        <v>18</v>
      </c>
      <c r="O8" s="1"/>
      <c r="P8" s="1">
        <v>1</v>
      </c>
      <c r="Q8" s="1">
        <v>1</v>
      </c>
      <c r="R8" s="1">
        <v>1</v>
      </c>
      <c r="S8" s="1">
        <v>-2</v>
      </c>
      <c r="T8" s="1">
        <v>-4</v>
      </c>
      <c r="U8" s="1">
        <v>-4</v>
      </c>
      <c r="V8" s="1">
        <v>-4</v>
      </c>
      <c r="W8" s="1">
        <v>1</v>
      </c>
      <c r="X8" s="1">
        <v>-3</v>
      </c>
      <c r="Y8" s="1">
        <v>2</v>
      </c>
      <c r="Z8" s="1">
        <v>0</v>
      </c>
      <c r="AA8" s="1">
        <v>3</v>
      </c>
      <c r="AC8" s="1">
        <v>3</v>
      </c>
      <c r="AD8" s="1">
        <v>1</v>
      </c>
      <c r="AE8" s="1">
        <v>4</v>
      </c>
      <c r="AF8" s="1">
        <v>-4</v>
      </c>
      <c r="AG8" s="1">
        <v>-4</v>
      </c>
      <c r="AH8" s="1">
        <v>-4</v>
      </c>
      <c r="AI8" s="1">
        <v>-4</v>
      </c>
      <c r="AJ8" s="1">
        <v>1</v>
      </c>
      <c r="AK8" s="1">
        <v>-4</v>
      </c>
      <c r="AL8" s="1">
        <v>2</v>
      </c>
      <c r="AM8" s="1">
        <v>0</v>
      </c>
      <c r="AN8" s="1">
        <v>5</v>
      </c>
      <c r="AP8" s="1">
        <v>0.33333333333333331</v>
      </c>
      <c r="AQ8" s="1">
        <v>1</v>
      </c>
      <c r="AR8" s="1">
        <v>1</v>
      </c>
      <c r="AS8" s="1">
        <v>0.33333333333333331</v>
      </c>
      <c r="AT8" s="1">
        <v>0.33333333333333331</v>
      </c>
      <c r="AU8" s="1">
        <v>0.33333333333333331</v>
      </c>
      <c r="AV8" s="1">
        <v>1</v>
      </c>
      <c r="AW8" s="1">
        <v>0.33333333333333331</v>
      </c>
      <c r="AX8" s="1">
        <v>0.33333333333333331</v>
      </c>
      <c r="AY8" s="1">
        <v>0.66666666666666663</v>
      </c>
      <c r="AZ8" s="1">
        <v>0</v>
      </c>
      <c r="BB8" s="1">
        <v>0.16666666666666671</v>
      </c>
      <c r="BC8" s="1">
        <v>0.16666666666666671</v>
      </c>
      <c r="BD8" s="1">
        <v>0.16666666666666671</v>
      </c>
      <c r="BE8" s="1">
        <v>-0.33333333333333331</v>
      </c>
      <c r="BF8" s="1">
        <v>-0.66666666666666663</v>
      </c>
      <c r="BG8" s="1">
        <v>-0.66666666666666663</v>
      </c>
      <c r="BH8" s="1">
        <v>-0.66666666666666663</v>
      </c>
      <c r="BI8" s="1">
        <v>0.16666666666666671</v>
      </c>
      <c r="BJ8" s="1">
        <v>-0.5</v>
      </c>
      <c r="BK8" s="1">
        <v>0.33333333333333331</v>
      </c>
      <c r="BL8" s="1">
        <v>0</v>
      </c>
      <c r="BN8" s="1">
        <v>0.25</v>
      </c>
      <c r="BO8" s="1">
        <v>8.3333333333333329E-2</v>
      </c>
      <c r="BP8" s="1">
        <v>0.33333333333333331</v>
      </c>
      <c r="BQ8" s="1">
        <v>-0.33333333333333331</v>
      </c>
      <c r="BR8" s="1">
        <v>-0.33333333333333331</v>
      </c>
      <c r="BS8" s="1">
        <v>-0.33333333333333331</v>
      </c>
      <c r="BT8" s="1">
        <v>-0.33333333333333331</v>
      </c>
      <c r="BU8" s="1">
        <v>8.3333333333333329E-2</v>
      </c>
      <c r="BV8" s="1">
        <v>-0.33333333333333331</v>
      </c>
      <c r="BW8" s="1">
        <v>0.16666666666666671</v>
      </c>
      <c r="BX8" s="1">
        <v>0</v>
      </c>
    </row>
    <row r="9" spans="2:76" x14ac:dyDescent="0.2">
      <c r="B9" t="s">
        <v>23</v>
      </c>
      <c r="C9" s="1">
        <v>3</v>
      </c>
      <c r="D9" s="1">
        <v>9</v>
      </c>
      <c r="E9" s="1">
        <v>9</v>
      </c>
      <c r="F9" s="1">
        <v>3</v>
      </c>
      <c r="G9" s="1">
        <v>3</v>
      </c>
      <c r="H9" s="1">
        <v>3</v>
      </c>
      <c r="I9" s="1">
        <v>9</v>
      </c>
      <c r="J9" s="1">
        <v>3</v>
      </c>
      <c r="K9" s="1">
        <v>3</v>
      </c>
      <c r="L9" s="1">
        <v>6</v>
      </c>
      <c r="M9" s="1">
        <v>0</v>
      </c>
      <c r="N9" s="1">
        <v>18</v>
      </c>
      <c r="O9" s="1"/>
      <c r="P9" s="1">
        <v>1</v>
      </c>
      <c r="Q9" s="1">
        <v>1</v>
      </c>
      <c r="R9" s="1">
        <v>1</v>
      </c>
      <c r="S9" s="1">
        <v>-2</v>
      </c>
      <c r="T9" s="1">
        <v>-4</v>
      </c>
      <c r="U9" s="1">
        <v>-4</v>
      </c>
      <c r="V9" s="1">
        <v>-4</v>
      </c>
      <c r="W9" s="1">
        <v>1</v>
      </c>
      <c r="X9" s="1">
        <v>-3</v>
      </c>
      <c r="Y9" s="1">
        <v>2</v>
      </c>
      <c r="Z9" s="1">
        <v>0</v>
      </c>
      <c r="AA9" s="1">
        <v>3</v>
      </c>
      <c r="AC9" s="1">
        <v>3</v>
      </c>
      <c r="AD9" s="1">
        <v>1</v>
      </c>
      <c r="AE9" s="1">
        <v>4</v>
      </c>
      <c r="AF9" s="1">
        <v>-4</v>
      </c>
      <c r="AG9" s="1">
        <v>-4</v>
      </c>
      <c r="AH9" s="1">
        <v>-4</v>
      </c>
      <c r="AI9" s="1">
        <v>-4</v>
      </c>
      <c r="AJ9" s="1">
        <v>1</v>
      </c>
      <c r="AK9" s="1">
        <v>-4</v>
      </c>
      <c r="AL9" s="1">
        <v>2</v>
      </c>
      <c r="AM9" s="1">
        <v>0</v>
      </c>
      <c r="AN9" s="1">
        <v>5</v>
      </c>
      <c r="AP9" s="1">
        <v>0.33333333333333331</v>
      </c>
      <c r="AQ9" s="1">
        <v>1</v>
      </c>
      <c r="AR9" s="1">
        <v>1</v>
      </c>
      <c r="AS9" s="1">
        <v>0.33333333333333331</v>
      </c>
      <c r="AT9" s="1">
        <v>0.33333333333333331</v>
      </c>
      <c r="AU9" s="1">
        <v>0.33333333333333331</v>
      </c>
      <c r="AV9" s="1">
        <v>1</v>
      </c>
      <c r="AW9" s="1">
        <v>0.33333333333333331</v>
      </c>
      <c r="AX9" s="1">
        <v>0.33333333333333331</v>
      </c>
      <c r="AY9" s="1">
        <v>0.66666666666666663</v>
      </c>
      <c r="AZ9" s="1">
        <v>0</v>
      </c>
      <c r="BB9" s="1">
        <v>0.16666666666666671</v>
      </c>
      <c r="BC9" s="1">
        <v>0.16666666666666671</v>
      </c>
      <c r="BD9" s="1">
        <v>0.16666666666666671</v>
      </c>
      <c r="BE9" s="1">
        <v>-0.33333333333333331</v>
      </c>
      <c r="BF9" s="1">
        <v>-0.66666666666666663</v>
      </c>
      <c r="BG9" s="1">
        <v>-0.66666666666666663</v>
      </c>
      <c r="BH9" s="1">
        <v>-0.66666666666666663</v>
      </c>
      <c r="BI9" s="1">
        <v>0.16666666666666671</v>
      </c>
      <c r="BJ9" s="1">
        <v>-0.5</v>
      </c>
      <c r="BK9" s="1">
        <v>0.33333333333333331</v>
      </c>
      <c r="BL9" s="1">
        <v>0</v>
      </c>
      <c r="BN9" s="1">
        <v>0.25</v>
      </c>
      <c r="BO9" s="1">
        <v>8.3333333333333329E-2</v>
      </c>
      <c r="BP9" s="1">
        <v>0.33333333333333331</v>
      </c>
      <c r="BQ9" s="1">
        <v>-0.33333333333333331</v>
      </c>
      <c r="BR9" s="1">
        <v>-0.33333333333333331</v>
      </c>
      <c r="BS9" s="1">
        <v>-0.33333333333333331</v>
      </c>
      <c r="BT9" s="1">
        <v>-0.33333333333333331</v>
      </c>
      <c r="BU9" s="1">
        <v>8.3333333333333329E-2</v>
      </c>
      <c r="BV9" s="1">
        <v>-0.33333333333333331</v>
      </c>
      <c r="BW9" s="1">
        <v>0.16666666666666671</v>
      </c>
      <c r="BX9" s="1">
        <v>0</v>
      </c>
    </row>
    <row r="10" spans="2:76" x14ac:dyDescent="0.2">
      <c r="B10" t="s">
        <v>23</v>
      </c>
      <c r="C10" s="1">
        <v>3</v>
      </c>
      <c r="D10" s="1">
        <v>9</v>
      </c>
      <c r="E10" s="1">
        <v>9</v>
      </c>
      <c r="F10" s="1">
        <v>3</v>
      </c>
      <c r="G10" s="1">
        <v>3</v>
      </c>
      <c r="H10" s="1">
        <v>3</v>
      </c>
      <c r="I10" s="1">
        <v>9</v>
      </c>
      <c r="J10" s="1">
        <v>3</v>
      </c>
      <c r="K10" s="1">
        <v>3</v>
      </c>
      <c r="L10" s="1">
        <v>6</v>
      </c>
      <c r="M10" s="1">
        <v>0</v>
      </c>
      <c r="N10" s="1">
        <v>18</v>
      </c>
      <c r="O10" s="1"/>
      <c r="P10" s="1">
        <v>1</v>
      </c>
      <c r="Q10" s="1">
        <v>1</v>
      </c>
      <c r="R10" s="1">
        <v>1</v>
      </c>
      <c r="S10" s="1">
        <v>-2</v>
      </c>
      <c r="T10" s="1">
        <v>-4</v>
      </c>
      <c r="U10" s="1">
        <v>-4</v>
      </c>
      <c r="V10" s="1">
        <v>-4</v>
      </c>
      <c r="W10" s="1">
        <v>1</v>
      </c>
      <c r="X10" s="1">
        <v>-3</v>
      </c>
      <c r="Y10" s="1">
        <v>2</v>
      </c>
      <c r="Z10" s="1">
        <v>0</v>
      </c>
      <c r="AA10" s="1">
        <v>3</v>
      </c>
      <c r="AC10" s="1">
        <v>3</v>
      </c>
      <c r="AD10" s="1">
        <v>1</v>
      </c>
      <c r="AE10" s="1">
        <v>4</v>
      </c>
      <c r="AF10" s="1">
        <v>-4</v>
      </c>
      <c r="AG10" s="1">
        <v>-4</v>
      </c>
      <c r="AH10" s="1">
        <v>-4</v>
      </c>
      <c r="AI10" s="1">
        <v>-4</v>
      </c>
      <c r="AJ10" s="1">
        <v>1</v>
      </c>
      <c r="AK10" s="1">
        <v>-4</v>
      </c>
      <c r="AL10" s="1">
        <v>2</v>
      </c>
      <c r="AM10" s="1">
        <v>0</v>
      </c>
      <c r="AN10" s="1">
        <v>5</v>
      </c>
      <c r="AP10" s="1">
        <v>0.33333333333333331</v>
      </c>
      <c r="AQ10" s="1">
        <v>1</v>
      </c>
      <c r="AR10" s="1">
        <v>1</v>
      </c>
      <c r="AS10" s="1">
        <v>0.33333333333333331</v>
      </c>
      <c r="AT10" s="1">
        <v>0.33333333333333331</v>
      </c>
      <c r="AU10" s="1">
        <v>0.33333333333333331</v>
      </c>
      <c r="AV10" s="1">
        <v>1</v>
      </c>
      <c r="AW10" s="1">
        <v>0.33333333333333331</v>
      </c>
      <c r="AX10" s="1">
        <v>0.33333333333333331</v>
      </c>
      <c r="AY10" s="1">
        <v>0.66666666666666663</v>
      </c>
      <c r="AZ10" s="1">
        <v>0</v>
      </c>
      <c r="BB10" s="1">
        <v>0.16666666666666671</v>
      </c>
      <c r="BC10" s="1">
        <v>0.16666666666666671</v>
      </c>
      <c r="BD10" s="1">
        <v>0.16666666666666671</v>
      </c>
      <c r="BE10" s="1">
        <v>-0.33333333333333331</v>
      </c>
      <c r="BF10" s="1">
        <v>-0.66666666666666663</v>
      </c>
      <c r="BG10" s="1">
        <v>-0.66666666666666663</v>
      </c>
      <c r="BH10" s="1">
        <v>-0.66666666666666663</v>
      </c>
      <c r="BI10" s="1">
        <v>0.16666666666666671</v>
      </c>
      <c r="BJ10" s="1">
        <v>-0.5</v>
      </c>
      <c r="BK10" s="1">
        <v>0.33333333333333331</v>
      </c>
      <c r="BL10" s="1">
        <v>0</v>
      </c>
      <c r="BN10" s="1">
        <v>0.25</v>
      </c>
      <c r="BO10" s="1">
        <v>8.3333333333333329E-2</v>
      </c>
      <c r="BP10" s="1">
        <v>0.33333333333333331</v>
      </c>
      <c r="BQ10" s="1">
        <v>-0.33333333333333331</v>
      </c>
      <c r="BR10" s="1">
        <v>-0.33333333333333331</v>
      </c>
      <c r="BS10" s="1">
        <v>-0.33333333333333331</v>
      </c>
      <c r="BT10" s="1">
        <v>-0.33333333333333331</v>
      </c>
      <c r="BU10" s="1">
        <v>8.3333333333333329E-2</v>
      </c>
      <c r="BV10" s="1">
        <v>-0.33333333333333331</v>
      </c>
      <c r="BW10" s="1">
        <v>0.16666666666666671</v>
      </c>
      <c r="BX10" s="1">
        <v>0</v>
      </c>
    </row>
    <row r="11" spans="2:76" x14ac:dyDescent="0.2">
      <c r="B11" t="s">
        <v>23</v>
      </c>
      <c r="C11" s="1">
        <v>3</v>
      </c>
      <c r="D11" s="1">
        <v>9</v>
      </c>
      <c r="E11" s="1">
        <v>9</v>
      </c>
      <c r="F11" s="1">
        <v>3</v>
      </c>
      <c r="G11" s="1">
        <v>3</v>
      </c>
      <c r="H11" s="1">
        <v>3</v>
      </c>
      <c r="I11" s="1">
        <v>9</v>
      </c>
      <c r="J11" s="1">
        <v>3</v>
      </c>
      <c r="K11" s="1">
        <v>3</v>
      </c>
      <c r="L11" s="1">
        <v>6</v>
      </c>
      <c r="M11" s="1">
        <v>0</v>
      </c>
      <c r="N11" s="1">
        <v>18</v>
      </c>
      <c r="O11" s="1"/>
      <c r="P11" s="1">
        <v>1</v>
      </c>
      <c r="Q11" s="1">
        <v>1</v>
      </c>
      <c r="R11" s="1">
        <v>1</v>
      </c>
      <c r="S11" s="1">
        <v>-2</v>
      </c>
      <c r="T11" s="1">
        <v>-4</v>
      </c>
      <c r="U11" s="1">
        <v>-4</v>
      </c>
      <c r="V11" s="1">
        <v>-4</v>
      </c>
      <c r="W11" s="1">
        <v>1</v>
      </c>
      <c r="X11" s="1">
        <v>-3</v>
      </c>
      <c r="Y11" s="1">
        <v>2</v>
      </c>
      <c r="Z11" s="1">
        <v>0</v>
      </c>
      <c r="AA11" s="1">
        <v>3</v>
      </c>
      <c r="AC11" s="1">
        <v>3</v>
      </c>
      <c r="AD11" s="1">
        <v>1</v>
      </c>
      <c r="AE11" s="1">
        <v>4</v>
      </c>
      <c r="AF11" s="1">
        <v>-4</v>
      </c>
      <c r="AG11" s="1">
        <v>-4</v>
      </c>
      <c r="AH11" s="1">
        <v>-4</v>
      </c>
      <c r="AI11" s="1">
        <v>-4</v>
      </c>
      <c r="AJ11" s="1">
        <v>1</v>
      </c>
      <c r="AK11" s="1">
        <v>-4</v>
      </c>
      <c r="AL11" s="1">
        <v>2</v>
      </c>
      <c r="AM11" s="1">
        <v>0</v>
      </c>
      <c r="AN11" s="1">
        <v>5</v>
      </c>
      <c r="AP11" s="1">
        <v>0.33333333333333331</v>
      </c>
      <c r="AQ11" s="1">
        <v>1</v>
      </c>
      <c r="AR11" s="1">
        <v>1</v>
      </c>
      <c r="AS11" s="1">
        <v>0.33333333333333331</v>
      </c>
      <c r="AT11" s="1">
        <v>0.33333333333333331</v>
      </c>
      <c r="AU11" s="1">
        <v>0.33333333333333331</v>
      </c>
      <c r="AV11" s="1">
        <v>1</v>
      </c>
      <c r="AW11" s="1">
        <v>0.33333333333333331</v>
      </c>
      <c r="AX11" s="1">
        <v>0.33333333333333331</v>
      </c>
      <c r="AY11" s="1">
        <v>0.66666666666666663</v>
      </c>
      <c r="AZ11" s="1">
        <v>0</v>
      </c>
      <c r="BB11" s="1">
        <v>0.16666666666666671</v>
      </c>
      <c r="BC11" s="1">
        <v>0.16666666666666671</v>
      </c>
      <c r="BD11" s="1">
        <v>0.16666666666666671</v>
      </c>
      <c r="BE11" s="1">
        <v>-0.33333333333333331</v>
      </c>
      <c r="BF11" s="1">
        <v>-0.66666666666666663</v>
      </c>
      <c r="BG11" s="1">
        <v>-0.66666666666666663</v>
      </c>
      <c r="BH11" s="1">
        <v>-0.66666666666666663</v>
      </c>
      <c r="BI11" s="1">
        <v>0.16666666666666671</v>
      </c>
      <c r="BJ11" s="1">
        <v>-0.5</v>
      </c>
      <c r="BK11" s="1">
        <v>0.33333333333333331</v>
      </c>
      <c r="BL11" s="1">
        <v>0</v>
      </c>
      <c r="BN11" s="1">
        <v>0.25</v>
      </c>
      <c r="BO11" s="1">
        <v>8.3333333333333329E-2</v>
      </c>
      <c r="BP11" s="1">
        <v>0.33333333333333331</v>
      </c>
      <c r="BQ11" s="1">
        <v>-0.33333333333333331</v>
      </c>
      <c r="BR11" s="1">
        <v>-0.33333333333333331</v>
      </c>
      <c r="BS11" s="1">
        <v>-0.33333333333333331</v>
      </c>
      <c r="BT11" s="1">
        <v>-0.33333333333333331</v>
      </c>
      <c r="BU11" s="1">
        <v>8.3333333333333329E-2</v>
      </c>
      <c r="BV11" s="1">
        <v>-0.33333333333333331</v>
      </c>
      <c r="BW11" s="1">
        <v>0.16666666666666671</v>
      </c>
      <c r="BX11" s="1">
        <v>0</v>
      </c>
    </row>
    <row r="12" spans="2:76" x14ac:dyDescent="0.2">
      <c r="B12" t="s">
        <v>23</v>
      </c>
      <c r="C12" s="1">
        <v>3</v>
      </c>
      <c r="D12" s="1">
        <v>9</v>
      </c>
      <c r="E12" s="1">
        <v>9</v>
      </c>
      <c r="F12" s="1">
        <v>3</v>
      </c>
      <c r="G12" s="1">
        <v>3</v>
      </c>
      <c r="H12" s="1">
        <v>3</v>
      </c>
      <c r="I12" s="1">
        <v>9</v>
      </c>
      <c r="J12" s="1">
        <v>3</v>
      </c>
      <c r="K12" s="1">
        <v>3</v>
      </c>
      <c r="L12" s="1">
        <v>6</v>
      </c>
      <c r="M12" s="1">
        <v>0</v>
      </c>
      <c r="N12" s="1">
        <v>18</v>
      </c>
      <c r="O12" s="1"/>
      <c r="P12" s="1">
        <v>1</v>
      </c>
      <c r="Q12" s="1">
        <v>1</v>
      </c>
      <c r="R12" s="1">
        <v>1</v>
      </c>
      <c r="S12" s="1">
        <v>-2</v>
      </c>
      <c r="T12" s="1">
        <v>-4</v>
      </c>
      <c r="U12" s="1">
        <v>-4</v>
      </c>
      <c r="V12" s="1">
        <v>-4</v>
      </c>
      <c r="W12" s="1">
        <v>1</v>
      </c>
      <c r="X12" s="1">
        <v>-3</v>
      </c>
      <c r="Y12" s="1">
        <v>2</v>
      </c>
      <c r="Z12" s="1">
        <v>0</v>
      </c>
      <c r="AA12" s="1">
        <v>3</v>
      </c>
      <c r="AC12" s="1">
        <v>3</v>
      </c>
      <c r="AD12" s="1">
        <v>1</v>
      </c>
      <c r="AE12" s="1">
        <v>4</v>
      </c>
      <c r="AF12" s="1">
        <v>-4</v>
      </c>
      <c r="AG12" s="1">
        <v>-4</v>
      </c>
      <c r="AH12" s="1">
        <v>-4</v>
      </c>
      <c r="AI12" s="1">
        <v>-4</v>
      </c>
      <c r="AJ12" s="1">
        <v>1</v>
      </c>
      <c r="AK12" s="1">
        <v>-4</v>
      </c>
      <c r="AL12" s="1">
        <v>2</v>
      </c>
      <c r="AM12" s="1">
        <v>0</v>
      </c>
      <c r="AN12" s="1">
        <v>5</v>
      </c>
      <c r="AP12" s="1">
        <v>0.33333333333333331</v>
      </c>
      <c r="AQ12" s="1">
        <v>1</v>
      </c>
      <c r="AR12" s="1">
        <v>1</v>
      </c>
      <c r="AS12" s="1">
        <v>0.33333333333333331</v>
      </c>
      <c r="AT12" s="1">
        <v>0.33333333333333331</v>
      </c>
      <c r="AU12" s="1">
        <v>0.33333333333333331</v>
      </c>
      <c r="AV12" s="1">
        <v>1</v>
      </c>
      <c r="AW12" s="1">
        <v>0.33333333333333331</v>
      </c>
      <c r="AX12" s="1">
        <v>0.33333333333333331</v>
      </c>
      <c r="AY12" s="1">
        <v>0.66666666666666663</v>
      </c>
      <c r="AZ12" s="1">
        <v>0</v>
      </c>
      <c r="BB12" s="1">
        <v>0.16666666666666671</v>
      </c>
      <c r="BC12" s="1">
        <v>0.16666666666666671</v>
      </c>
      <c r="BD12" s="1">
        <v>0.16666666666666671</v>
      </c>
      <c r="BE12" s="1">
        <v>-0.33333333333333331</v>
      </c>
      <c r="BF12" s="1">
        <v>-0.66666666666666663</v>
      </c>
      <c r="BG12" s="1">
        <v>-0.66666666666666663</v>
      </c>
      <c r="BH12" s="1">
        <v>-0.66666666666666663</v>
      </c>
      <c r="BI12" s="1">
        <v>0.16666666666666671</v>
      </c>
      <c r="BJ12" s="1">
        <v>-0.5</v>
      </c>
      <c r="BK12" s="1">
        <v>0.33333333333333331</v>
      </c>
      <c r="BL12" s="1">
        <v>0</v>
      </c>
      <c r="BN12" s="1">
        <v>0.25</v>
      </c>
      <c r="BO12" s="1">
        <v>8.3333333333333329E-2</v>
      </c>
      <c r="BP12" s="1">
        <v>0.33333333333333331</v>
      </c>
      <c r="BQ12" s="1">
        <v>-0.33333333333333331</v>
      </c>
      <c r="BR12" s="1">
        <v>-0.33333333333333331</v>
      </c>
      <c r="BS12" s="1">
        <v>-0.33333333333333331</v>
      </c>
      <c r="BT12" s="1">
        <v>-0.33333333333333331</v>
      </c>
      <c r="BU12" s="1">
        <v>8.3333333333333329E-2</v>
      </c>
      <c r="BV12" s="1">
        <v>-0.33333333333333331</v>
      </c>
      <c r="BW12" s="1">
        <v>0.16666666666666671</v>
      </c>
      <c r="BX12" s="1">
        <v>0</v>
      </c>
    </row>
    <row r="13" spans="2:76" x14ac:dyDescent="0.2">
      <c r="B13" t="s">
        <v>24</v>
      </c>
      <c r="C13" s="1">
        <v>1</v>
      </c>
      <c r="D13" s="1">
        <v>3</v>
      </c>
      <c r="E13" s="1">
        <v>3</v>
      </c>
      <c r="F13" s="1">
        <v>1</v>
      </c>
      <c r="G13" s="1">
        <v>1</v>
      </c>
      <c r="H13" s="1">
        <v>1</v>
      </c>
      <c r="I13" s="1">
        <v>3</v>
      </c>
      <c r="J13" s="1">
        <v>1</v>
      </c>
      <c r="K13" s="1">
        <v>1</v>
      </c>
      <c r="L13" s="1">
        <v>2</v>
      </c>
      <c r="M13" s="1">
        <v>0</v>
      </c>
      <c r="N13" s="1">
        <v>6</v>
      </c>
      <c r="O13" s="1"/>
      <c r="P13" s="1">
        <v>2</v>
      </c>
      <c r="Q13" s="1">
        <v>2</v>
      </c>
      <c r="R13" s="1">
        <v>2</v>
      </c>
      <c r="S13" s="1">
        <v>-4</v>
      </c>
      <c r="T13" s="1">
        <v>-8</v>
      </c>
      <c r="U13" s="1">
        <v>-8</v>
      </c>
      <c r="V13" s="1">
        <v>-8</v>
      </c>
      <c r="W13" s="1">
        <v>2</v>
      </c>
      <c r="X13" s="1">
        <v>-6</v>
      </c>
      <c r="Y13" s="1">
        <v>4</v>
      </c>
      <c r="Z13" s="1">
        <v>0</v>
      </c>
      <c r="AA13" s="1">
        <v>6</v>
      </c>
      <c r="AC13" s="1">
        <v>6</v>
      </c>
      <c r="AD13" s="1">
        <v>2</v>
      </c>
      <c r="AE13" s="1">
        <v>8</v>
      </c>
      <c r="AF13" s="1">
        <v>-8</v>
      </c>
      <c r="AG13" s="1">
        <v>-8</v>
      </c>
      <c r="AH13" s="1">
        <v>-8</v>
      </c>
      <c r="AI13" s="1">
        <v>-8</v>
      </c>
      <c r="AJ13" s="1">
        <v>2</v>
      </c>
      <c r="AK13" s="1">
        <v>-8</v>
      </c>
      <c r="AL13" s="1">
        <v>4</v>
      </c>
      <c r="AM13" s="1">
        <v>0</v>
      </c>
      <c r="AN13" s="1">
        <v>10</v>
      </c>
      <c r="AP13" s="1">
        <v>0.1111111111111111</v>
      </c>
      <c r="AQ13" s="1">
        <v>0.33333333333333331</v>
      </c>
      <c r="AR13" s="1">
        <v>0.33333333333333331</v>
      </c>
      <c r="AS13" s="1">
        <v>0.1111111111111111</v>
      </c>
      <c r="AT13" s="1">
        <v>0.1111111111111111</v>
      </c>
      <c r="AU13" s="1">
        <v>0.1111111111111111</v>
      </c>
      <c r="AV13" s="1">
        <v>0.33333333333333331</v>
      </c>
      <c r="AW13" s="1">
        <v>0.1111111111111111</v>
      </c>
      <c r="AX13" s="1">
        <v>0.1111111111111111</v>
      </c>
      <c r="AY13" s="1">
        <v>0.22222222222222221</v>
      </c>
      <c r="AZ13" s="1">
        <v>0</v>
      </c>
      <c r="BB13" s="1">
        <v>0.33333333333333331</v>
      </c>
      <c r="BC13" s="1">
        <v>0.33333333333333331</v>
      </c>
      <c r="BD13" s="1">
        <v>0.33333333333333331</v>
      </c>
      <c r="BE13" s="1">
        <v>-0.66666666666666663</v>
      </c>
      <c r="BF13" s="1">
        <v>-1.333333333333333</v>
      </c>
      <c r="BG13" s="1">
        <v>-1.333333333333333</v>
      </c>
      <c r="BH13" s="1">
        <v>-1.333333333333333</v>
      </c>
      <c r="BI13" s="1">
        <v>0.33333333333333331</v>
      </c>
      <c r="BJ13" s="1">
        <v>-1</v>
      </c>
      <c r="BK13" s="1">
        <v>0.66666666666666663</v>
      </c>
      <c r="BL13" s="1">
        <v>0</v>
      </c>
      <c r="BN13" s="1">
        <v>0.5</v>
      </c>
      <c r="BO13" s="1">
        <v>0.16666666666666671</v>
      </c>
      <c r="BP13" s="1">
        <v>0.66666666666666663</v>
      </c>
      <c r="BQ13" s="1">
        <v>-0.66666666666666663</v>
      </c>
      <c r="BR13" s="1">
        <v>-0.66666666666666663</v>
      </c>
      <c r="BS13" s="1">
        <v>-0.66666666666666663</v>
      </c>
      <c r="BT13" s="1">
        <v>-0.66666666666666663</v>
      </c>
      <c r="BU13" s="1">
        <v>0.16666666666666671</v>
      </c>
      <c r="BV13" s="1">
        <v>-0.66666666666666663</v>
      </c>
      <c r="BW13" s="1">
        <v>0.33333333333333331</v>
      </c>
      <c r="BX13" s="1">
        <v>0</v>
      </c>
    </row>
    <row r="14" spans="2:76" x14ac:dyDescent="0.2">
      <c r="B14" t="s">
        <v>24</v>
      </c>
      <c r="C14" s="1">
        <v>1</v>
      </c>
      <c r="D14" s="1">
        <v>3</v>
      </c>
      <c r="E14" s="1">
        <v>3</v>
      </c>
      <c r="F14" s="1">
        <v>1</v>
      </c>
      <c r="G14" s="1">
        <v>1</v>
      </c>
      <c r="H14" s="1">
        <v>1</v>
      </c>
      <c r="I14" s="1">
        <v>3</v>
      </c>
      <c r="J14" s="1">
        <v>1</v>
      </c>
      <c r="K14" s="1">
        <v>1</v>
      </c>
      <c r="L14" s="1">
        <v>2</v>
      </c>
      <c r="M14" s="1">
        <v>0</v>
      </c>
      <c r="N14" s="1">
        <v>6</v>
      </c>
      <c r="O14" s="1"/>
      <c r="P14" s="1">
        <v>2</v>
      </c>
      <c r="Q14" s="1">
        <v>2</v>
      </c>
      <c r="R14" s="1">
        <v>2</v>
      </c>
      <c r="S14" s="1">
        <v>-4</v>
      </c>
      <c r="T14" s="1">
        <v>-8</v>
      </c>
      <c r="U14" s="1">
        <v>-8</v>
      </c>
      <c r="V14" s="1">
        <v>-8</v>
      </c>
      <c r="W14" s="1">
        <v>2</v>
      </c>
      <c r="X14" s="1">
        <v>-6</v>
      </c>
      <c r="Y14" s="1">
        <v>4</v>
      </c>
      <c r="Z14" s="1">
        <v>0</v>
      </c>
      <c r="AA14" s="1">
        <v>6</v>
      </c>
      <c r="AC14" s="1">
        <v>6</v>
      </c>
      <c r="AD14" s="1">
        <v>2</v>
      </c>
      <c r="AE14" s="1">
        <v>8</v>
      </c>
      <c r="AF14" s="1">
        <v>-8</v>
      </c>
      <c r="AG14" s="1">
        <v>-8</v>
      </c>
      <c r="AH14" s="1">
        <v>-8</v>
      </c>
      <c r="AI14" s="1">
        <v>-8</v>
      </c>
      <c r="AJ14" s="1">
        <v>2</v>
      </c>
      <c r="AK14" s="1">
        <v>-8</v>
      </c>
      <c r="AL14" s="1">
        <v>4</v>
      </c>
      <c r="AM14" s="1">
        <v>0</v>
      </c>
      <c r="AN14" s="1">
        <v>10</v>
      </c>
      <c r="AP14" s="1">
        <v>0.1111111111111111</v>
      </c>
      <c r="AQ14" s="1">
        <v>0.33333333333333331</v>
      </c>
      <c r="AR14" s="1">
        <v>0.33333333333333331</v>
      </c>
      <c r="AS14" s="1">
        <v>0.1111111111111111</v>
      </c>
      <c r="AT14" s="1">
        <v>0.1111111111111111</v>
      </c>
      <c r="AU14" s="1">
        <v>0.1111111111111111</v>
      </c>
      <c r="AV14" s="1">
        <v>0.33333333333333331</v>
      </c>
      <c r="AW14" s="1">
        <v>0.1111111111111111</v>
      </c>
      <c r="AX14" s="1">
        <v>0.1111111111111111</v>
      </c>
      <c r="AY14" s="1">
        <v>0.22222222222222221</v>
      </c>
      <c r="AZ14" s="1">
        <v>0</v>
      </c>
      <c r="BB14" s="1">
        <v>0.33333333333333331</v>
      </c>
      <c r="BC14" s="1">
        <v>0.33333333333333331</v>
      </c>
      <c r="BD14" s="1">
        <v>0.33333333333333331</v>
      </c>
      <c r="BE14" s="1">
        <v>-0.66666666666666663</v>
      </c>
      <c r="BF14" s="1">
        <v>-1.333333333333333</v>
      </c>
      <c r="BG14" s="1">
        <v>-1.333333333333333</v>
      </c>
      <c r="BH14" s="1">
        <v>-1.333333333333333</v>
      </c>
      <c r="BI14" s="1">
        <v>0.33333333333333331</v>
      </c>
      <c r="BJ14" s="1">
        <v>-1</v>
      </c>
      <c r="BK14" s="1">
        <v>0.66666666666666663</v>
      </c>
      <c r="BL14" s="1">
        <v>0</v>
      </c>
      <c r="BN14" s="1">
        <v>0.5</v>
      </c>
      <c r="BO14" s="1">
        <v>0.16666666666666671</v>
      </c>
      <c r="BP14" s="1">
        <v>0.66666666666666663</v>
      </c>
      <c r="BQ14" s="1">
        <v>-0.66666666666666663</v>
      </c>
      <c r="BR14" s="1">
        <v>-0.66666666666666663</v>
      </c>
      <c r="BS14" s="1">
        <v>-0.66666666666666663</v>
      </c>
      <c r="BT14" s="1">
        <v>-0.66666666666666663</v>
      </c>
      <c r="BU14" s="1">
        <v>0.16666666666666671</v>
      </c>
      <c r="BV14" s="1">
        <v>-0.66666666666666663</v>
      </c>
      <c r="BW14" s="1">
        <v>0.33333333333333331</v>
      </c>
      <c r="BX14" s="1">
        <v>0</v>
      </c>
    </row>
    <row r="15" spans="2:76" x14ac:dyDescent="0.2">
      <c r="B15" t="s">
        <v>24</v>
      </c>
      <c r="C15" s="1">
        <v>1</v>
      </c>
      <c r="D15" s="1">
        <v>3</v>
      </c>
      <c r="E15" s="1">
        <v>3</v>
      </c>
      <c r="F15" s="1">
        <v>1</v>
      </c>
      <c r="G15" s="1">
        <v>1</v>
      </c>
      <c r="H15" s="1">
        <v>1</v>
      </c>
      <c r="I15" s="1">
        <v>3</v>
      </c>
      <c r="J15" s="1">
        <v>1</v>
      </c>
      <c r="K15" s="1">
        <v>1</v>
      </c>
      <c r="L15" s="1">
        <v>2</v>
      </c>
      <c r="M15" s="1">
        <v>0</v>
      </c>
      <c r="N15" s="1">
        <v>6</v>
      </c>
      <c r="O15" s="1"/>
      <c r="P15" s="1">
        <v>2</v>
      </c>
      <c r="Q15" s="1">
        <v>2</v>
      </c>
      <c r="R15" s="1">
        <v>2</v>
      </c>
      <c r="S15" s="1">
        <v>-4</v>
      </c>
      <c r="T15" s="1">
        <v>-8</v>
      </c>
      <c r="U15" s="1">
        <v>-8</v>
      </c>
      <c r="V15" s="1">
        <v>-8</v>
      </c>
      <c r="W15" s="1">
        <v>2</v>
      </c>
      <c r="X15" s="1">
        <v>-6</v>
      </c>
      <c r="Y15" s="1">
        <v>4</v>
      </c>
      <c r="Z15" s="1">
        <v>0</v>
      </c>
      <c r="AA15" s="1">
        <v>6</v>
      </c>
      <c r="AC15" s="1">
        <v>6</v>
      </c>
      <c r="AD15" s="1">
        <v>2</v>
      </c>
      <c r="AE15" s="1">
        <v>8</v>
      </c>
      <c r="AF15" s="1">
        <v>-8</v>
      </c>
      <c r="AG15" s="1">
        <v>-8</v>
      </c>
      <c r="AH15" s="1">
        <v>-8</v>
      </c>
      <c r="AI15" s="1">
        <v>-8</v>
      </c>
      <c r="AJ15" s="1">
        <v>2</v>
      </c>
      <c r="AK15" s="1">
        <v>-8</v>
      </c>
      <c r="AL15" s="1">
        <v>4</v>
      </c>
      <c r="AM15" s="1">
        <v>0</v>
      </c>
      <c r="AN15" s="1">
        <v>10</v>
      </c>
      <c r="AP15" s="1">
        <v>0.1111111111111111</v>
      </c>
      <c r="AQ15" s="1">
        <v>0.33333333333333331</v>
      </c>
      <c r="AR15" s="1">
        <v>0.33333333333333331</v>
      </c>
      <c r="AS15" s="1">
        <v>0.1111111111111111</v>
      </c>
      <c r="AT15" s="1">
        <v>0.1111111111111111</v>
      </c>
      <c r="AU15" s="1">
        <v>0.1111111111111111</v>
      </c>
      <c r="AV15" s="1">
        <v>0.33333333333333331</v>
      </c>
      <c r="AW15" s="1">
        <v>0.1111111111111111</v>
      </c>
      <c r="AX15" s="1">
        <v>0.1111111111111111</v>
      </c>
      <c r="AY15" s="1">
        <v>0.22222222222222221</v>
      </c>
      <c r="AZ15" s="1">
        <v>0</v>
      </c>
      <c r="BB15" s="1">
        <v>0.33333333333333331</v>
      </c>
      <c r="BC15" s="1">
        <v>0.33333333333333331</v>
      </c>
      <c r="BD15" s="1">
        <v>0.33333333333333331</v>
      </c>
      <c r="BE15" s="1">
        <v>-0.66666666666666663</v>
      </c>
      <c r="BF15" s="1">
        <v>-1.333333333333333</v>
      </c>
      <c r="BG15" s="1">
        <v>-1.333333333333333</v>
      </c>
      <c r="BH15" s="1">
        <v>-1.333333333333333</v>
      </c>
      <c r="BI15" s="1">
        <v>0.33333333333333331</v>
      </c>
      <c r="BJ15" s="1">
        <v>-1</v>
      </c>
      <c r="BK15" s="1">
        <v>0.66666666666666663</v>
      </c>
      <c r="BL15" s="1">
        <v>0</v>
      </c>
      <c r="BN15" s="1">
        <v>0.5</v>
      </c>
      <c r="BO15" s="1">
        <v>0.16666666666666671</v>
      </c>
      <c r="BP15" s="1">
        <v>0.66666666666666663</v>
      </c>
      <c r="BQ15" s="1">
        <v>-0.66666666666666663</v>
      </c>
      <c r="BR15" s="1">
        <v>-0.66666666666666663</v>
      </c>
      <c r="BS15" s="1">
        <v>-0.66666666666666663</v>
      </c>
      <c r="BT15" s="1">
        <v>-0.66666666666666663</v>
      </c>
      <c r="BU15" s="1">
        <v>0.16666666666666671</v>
      </c>
      <c r="BV15" s="1">
        <v>-0.66666666666666663</v>
      </c>
      <c r="BW15" s="1">
        <v>0.33333333333333331</v>
      </c>
      <c r="BX15" s="1">
        <v>0</v>
      </c>
    </row>
    <row r="16" spans="2:76" x14ac:dyDescent="0.2">
      <c r="B16" t="s">
        <v>24</v>
      </c>
      <c r="C16" s="1">
        <v>1</v>
      </c>
      <c r="D16" s="1">
        <v>3</v>
      </c>
      <c r="E16" s="1">
        <v>3</v>
      </c>
      <c r="F16" s="1">
        <v>1</v>
      </c>
      <c r="G16" s="1">
        <v>1</v>
      </c>
      <c r="H16" s="1">
        <v>1</v>
      </c>
      <c r="I16" s="1">
        <v>3</v>
      </c>
      <c r="J16" s="1">
        <v>1</v>
      </c>
      <c r="K16" s="1">
        <v>1</v>
      </c>
      <c r="L16" s="1">
        <v>2</v>
      </c>
      <c r="M16" s="1">
        <v>0</v>
      </c>
      <c r="N16" s="1">
        <v>6</v>
      </c>
      <c r="O16" s="1"/>
      <c r="P16" s="1">
        <v>2</v>
      </c>
      <c r="Q16" s="1">
        <v>2</v>
      </c>
      <c r="R16" s="1">
        <v>2</v>
      </c>
      <c r="S16" s="1">
        <v>-4</v>
      </c>
      <c r="T16" s="1">
        <v>-8</v>
      </c>
      <c r="U16" s="1">
        <v>-8</v>
      </c>
      <c r="V16" s="1">
        <v>-8</v>
      </c>
      <c r="W16" s="1">
        <v>2</v>
      </c>
      <c r="X16" s="1">
        <v>-6</v>
      </c>
      <c r="Y16" s="1">
        <v>4</v>
      </c>
      <c r="Z16" s="1">
        <v>0</v>
      </c>
      <c r="AA16" s="1">
        <v>6</v>
      </c>
      <c r="AC16" s="1">
        <v>6</v>
      </c>
      <c r="AD16" s="1">
        <v>2</v>
      </c>
      <c r="AE16" s="1">
        <v>8</v>
      </c>
      <c r="AF16" s="1">
        <v>-8</v>
      </c>
      <c r="AG16" s="1">
        <v>-8</v>
      </c>
      <c r="AH16" s="1">
        <v>-8</v>
      </c>
      <c r="AI16" s="1">
        <v>-8</v>
      </c>
      <c r="AJ16" s="1">
        <v>2</v>
      </c>
      <c r="AK16" s="1">
        <v>-8</v>
      </c>
      <c r="AL16" s="1">
        <v>4</v>
      </c>
      <c r="AM16" s="1">
        <v>0</v>
      </c>
      <c r="AN16" s="1">
        <v>10</v>
      </c>
      <c r="AP16" s="1">
        <v>0.1111111111111111</v>
      </c>
      <c r="AQ16" s="1">
        <v>0.33333333333333331</v>
      </c>
      <c r="AR16" s="1">
        <v>0.33333333333333331</v>
      </c>
      <c r="AS16" s="1">
        <v>0.1111111111111111</v>
      </c>
      <c r="AT16" s="1">
        <v>0.1111111111111111</v>
      </c>
      <c r="AU16" s="1">
        <v>0.1111111111111111</v>
      </c>
      <c r="AV16" s="1">
        <v>0.33333333333333331</v>
      </c>
      <c r="AW16" s="1">
        <v>0.1111111111111111</v>
      </c>
      <c r="AX16" s="1">
        <v>0.1111111111111111</v>
      </c>
      <c r="AY16" s="1">
        <v>0.22222222222222221</v>
      </c>
      <c r="AZ16" s="1">
        <v>0</v>
      </c>
      <c r="BB16" s="1">
        <v>0.33333333333333331</v>
      </c>
      <c r="BC16" s="1">
        <v>0.33333333333333331</v>
      </c>
      <c r="BD16" s="1">
        <v>0.33333333333333331</v>
      </c>
      <c r="BE16" s="1">
        <v>-0.66666666666666663</v>
      </c>
      <c r="BF16" s="1">
        <v>-1.333333333333333</v>
      </c>
      <c r="BG16" s="1">
        <v>-1.333333333333333</v>
      </c>
      <c r="BH16" s="1">
        <v>-1.333333333333333</v>
      </c>
      <c r="BI16" s="1">
        <v>0.33333333333333331</v>
      </c>
      <c r="BJ16" s="1">
        <v>-1</v>
      </c>
      <c r="BK16" s="1">
        <v>0.66666666666666663</v>
      </c>
      <c r="BL16" s="1">
        <v>0</v>
      </c>
      <c r="BN16" s="1">
        <v>0.5</v>
      </c>
      <c r="BO16" s="1">
        <v>0.16666666666666671</v>
      </c>
      <c r="BP16" s="1">
        <v>0.66666666666666663</v>
      </c>
      <c r="BQ16" s="1">
        <v>-0.66666666666666663</v>
      </c>
      <c r="BR16" s="1">
        <v>-0.66666666666666663</v>
      </c>
      <c r="BS16" s="1">
        <v>-0.66666666666666663</v>
      </c>
      <c r="BT16" s="1">
        <v>-0.66666666666666663</v>
      </c>
      <c r="BU16" s="1">
        <v>0.16666666666666671</v>
      </c>
      <c r="BV16" s="1">
        <v>-0.66666666666666663</v>
      </c>
      <c r="BW16" s="1">
        <v>0.33333333333333331</v>
      </c>
      <c r="BX16" s="1">
        <v>0</v>
      </c>
    </row>
    <row r="17" spans="2:76" x14ac:dyDescent="0.2">
      <c r="B17" t="s">
        <v>24</v>
      </c>
      <c r="C17" s="1">
        <v>1</v>
      </c>
      <c r="D17" s="1">
        <v>3</v>
      </c>
      <c r="E17" s="1">
        <v>3</v>
      </c>
      <c r="F17" s="1">
        <v>1</v>
      </c>
      <c r="G17" s="1">
        <v>1</v>
      </c>
      <c r="H17" s="1">
        <v>1</v>
      </c>
      <c r="I17" s="1">
        <v>3</v>
      </c>
      <c r="J17" s="1">
        <v>1</v>
      </c>
      <c r="K17" s="1">
        <v>1</v>
      </c>
      <c r="L17" s="1">
        <v>2</v>
      </c>
      <c r="M17" s="1">
        <v>0</v>
      </c>
      <c r="N17" s="1">
        <v>6</v>
      </c>
      <c r="O17" s="1"/>
      <c r="P17" s="1">
        <v>2</v>
      </c>
      <c r="Q17" s="1">
        <v>2</v>
      </c>
      <c r="R17" s="1">
        <v>2</v>
      </c>
      <c r="S17" s="1">
        <v>-4</v>
      </c>
      <c r="T17" s="1">
        <v>-8</v>
      </c>
      <c r="U17" s="1">
        <v>-8</v>
      </c>
      <c r="V17" s="1">
        <v>-8</v>
      </c>
      <c r="W17" s="1">
        <v>2</v>
      </c>
      <c r="X17" s="1">
        <v>-6</v>
      </c>
      <c r="Y17" s="1">
        <v>4</v>
      </c>
      <c r="Z17" s="1">
        <v>0</v>
      </c>
      <c r="AA17" s="1">
        <v>6</v>
      </c>
      <c r="AC17" s="1">
        <v>6</v>
      </c>
      <c r="AD17" s="1">
        <v>2</v>
      </c>
      <c r="AE17" s="1">
        <v>8</v>
      </c>
      <c r="AF17" s="1">
        <v>-8</v>
      </c>
      <c r="AG17" s="1">
        <v>-8</v>
      </c>
      <c r="AH17" s="1">
        <v>-8</v>
      </c>
      <c r="AI17" s="1">
        <v>-8</v>
      </c>
      <c r="AJ17" s="1">
        <v>2</v>
      </c>
      <c r="AK17" s="1">
        <v>-8</v>
      </c>
      <c r="AL17" s="1">
        <v>4</v>
      </c>
      <c r="AM17" s="1">
        <v>0</v>
      </c>
      <c r="AN17" s="1">
        <v>10</v>
      </c>
      <c r="AP17" s="1">
        <v>0.1111111111111111</v>
      </c>
      <c r="AQ17" s="1">
        <v>0.33333333333333331</v>
      </c>
      <c r="AR17" s="1">
        <v>0.33333333333333331</v>
      </c>
      <c r="AS17" s="1">
        <v>0.1111111111111111</v>
      </c>
      <c r="AT17" s="1">
        <v>0.1111111111111111</v>
      </c>
      <c r="AU17" s="1">
        <v>0.1111111111111111</v>
      </c>
      <c r="AV17" s="1">
        <v>0.33333333333333331</v>
      </c>
      <c r="AW17" s="1">
        <v>0.1111111111111111</v>
      </c>
      <c r="AX17" s="1">
        <v>0.1111111111111111</v>
      </c>
      <c r="AY17" s="1">
        <v>0.22222222222222221</v>
      </c>
      <c r="AZ17" s="1">
        <v>0</v>
      </c>
      <c r="BB17" s="1">
        <v>0.33333333333333331</v>
      </c>
      <c r="BC17" s="1">
        <v>0.33333333333333331</v>
      </c>
      <c r="BD17" s="1">
        <v>0.33333333333333331</v>
      </c>
      <c r="BE17" s="1">
        <v>-0.66666666666666663</v>
      </c>
      <c r="BF17" s="1">
        <v>-1.333333333333333</v>
      </c>
      <c r="BG17" s="1">
        <v>-1.333333333333333</v>
      </c>
      <c r="BH17" s="1">
        <v>-1.333333333333333</v>
      </c>
      <c r="BI17" s="1">
        <v>0.33333333333333331</v>
      </c>
      <c r="BJ17" s="1">
        <v>-1</v>
      </c>
      <c r="BK17" s="1">
        <v>0.66666666666666663</v>
      </c>
      <c r="BL17" s="1">
        <v>0</v>
      </c>
      <c r="BN17" s="1">
        <v>0.5</v>
      </c>
      <c r="BO17" s="1">
        <v>0.16666666666666671</v>
      </c>
      <c r="BP17" s="1">
        <v>0.66666666666666663</v>
      </c>
      <c r="BQ17" s="1">
        <v>-0.66666666666666663</v>
      </c>
      <c r="BR17" s="1">
        <v>-0.66666666666666663</v>
      </c>
      <c r="BS17" s="1">
        <v>-0.66666666666666663</v>
      </c>
      <c r="BT17" s="1">
        <v>-0.66666666666666663</v>
      </c>
      <c r="BU17" s="1">
        <v>0.16666666666666671</v>
      </c>
      <c r="BV17" s="1">
        <v>-0.66666666666666663</v>
      </c>
      <c r="BW17" s="1">
        <v>0.33333333333333331</v>
      </c>
      <c r="BX17" s="1">
        <v>0</v>
      </c>
    </row>
    <row r="18" spans="2:76" x14ac:dyDescent="0.2">
      <c r="B18" t="s">
        <v>25</v>
      </c>
      <c r="C18" s="1">
        <v>2</v>
      </c>
      <c r="D18" s="1">
        <v>6</v>
      </c>
      <c r="E18" s="1">
        <v>6</v>
      </c>
      <c r="F18" s="1">
        <v>2</v>
      </c>
      <c r="G18" s="1">
        <v>2</v>
      </c>
      <c r="H18" s="1">
        <v>2</v>
      </c>
      <c r="I18" s="1">
        <v>6</v>
      </c>
      <c r="J18" s="1">
        <v>2</v>
      </c>
      <c r="K18" s="1">
        <v>2</v>
      </c>
      <c r="L18" s="1">
        <v>4</v>
      </c>
      <c r="M18" s="1">
        <v>0</v>
      </c>
      <c r="N18" s="1">
        <v>12</v>
      </c>
      <c r="O18" s="1"/>
      <c r="P18" s="1">
        <v>3</v>
      </c>
      <c r="Q18" s="1">
        <v>3</v>
      </c>
      <c r="R18" s="1">
        <v>3</v>
      </c>
      <c r="S18" s="1">
        <v>-6</v>
      </c>
      <c r="T18" s="1">
        <v>-12</v>
      </c>
      <c r="U18" s="1">
        <v>-12</v>
      </c>
      <c r="V18" s="1">
        <v>-12</v>
      </c>
      <c r="W18" s="1">
        <v>3</v>
      </c>
      <c r="X18" s="1">
        <v>-9</v>
      </c>
      <c r="Y18" s="1">
        <v>6</v>
      </c>
      <c r="Z18" s="1">
        <v>0</v>
      </c>
      <c r="AA18" s="1">
        <v>9</v>
      </c>
      <c r="AC18" s="1">
        <v>9</v>
      </c>
      <c r="AD18" s="1">
        <v>3</v>
      </c>
      <c r="AE18" s="1">
        <v>12</v>
      </c>
      <c r="AF18" s="1">
        <v>-12</v>
      </c>
      <c r="AG18" s="1">
        <v>-12</v>
      </c>
      <c r="AH18" s="1">
        <v>-12</v>
      </c>
      <c r="AI18" s="1">
        <v>-12</v>
      </c>
      <c r="AJ18" s="1">
        <v>3</v>
      </c>
      <c r="AK18" s="1">
        <v>-12</v>
      </c>
      <c r="AL18" s="1">
        <v>6</v>
      </c>
      <c r="AM18" s="1">
        <v>0</v>
      </c>
      <c r="AN18" s="1">
        <v>15</v>
      </c>
      <c r="AP18" s="1">
        <v>0.22222222222222221</v>
      </c>
      <c r="AQ18" s="1">
        <v>0.66666666666666663</v>
      </c>
      <c r="AR18" s="1">
        <v>0.66666666666666663</v>
      </c>
      <c r="AS18" s="1">
        <v>0.22222222222222221</v>
      </c>
      <c r="AT18" s="1">
        <v>0.22222222222222221</v>
      </c>
      <c r="AU18" s="1">
        <v>0.22222222222222221</v>
      </c>
      <c r="AV18" s="1">
        <v>0.66666666666666663</v>
      </c>
      <c r="AW18" s="1">
        <v>0.22222222222222221</v>
      </c>
      <c r="AX18" s="1">
        <v>0.22222222222222221</v>
      </c>
      <c r="AY18" s="1">
        <v>0.44444444444444442</v>
      </c>
      <c r="AZ18" s="1">
        <v>0</v>
      </c>
      <c r="BB18" s="1">
        <v>0.5</v>
      </c>
      <c r="BC18" s="1">
        <v>0.5</v>
      </c>
      <c r="BD18" s="1">
        <v>0.5</v>
      </c>
      <c r="BE18" s="1">
        <v>-1</v>
      </c>
      <c r="BF18" s="1">
        <v>-2</v>
      </c>
      <c r="BG18" s="1">
        <v>-2</v>
      </c>
      <c r="BH18" s="1">
        <v>-2</v>
      </c>
      <c r="BI18" s="1">
        <v>0.5</v>
      </c>
      <c r="BJ18" s="1">
        <v>-1.5</v>
      </c>
      <c r="BK18" s="1">
        <v>1</v>
      </c>
      <c r="BL18" s="1">
        <v>0</v>
      </c>
      <c r="BN18" s="1">
        <v>0.75</v>
      </c>
      <c r="BO18" s="1">
        <v>0.25</v>
      </c>
      <c r="BP18" s="1">
        <v>1</v>
      </c>
      <c r="BQ18" s="1">
        <v>-1</v>
      </c>
      <c r="BR18" s="1">
        <v>-1</v>
      </c>
      <c r="BS18" s="1">
        <v>-1</v>
      </c>
      <c r="BT18" s="1">
        <v>-1</v>
      </c>
      <c r="BU18" s="1">
        <v>0.25</v>
      </c>
      <c r="BV18" s="1">
        <v>-1</v>
      </c>
      <c r="BW18" s="1">
        <v>0.5</v>
      </c>
      <c r="BX18" s="1">
        <v>0</v>
      </c>
    </row>
    <row r="19" spans="2:76" x14ac:dyDescent="0.2">
      <c r="B19" t="s">
        <v>25</v>
      </c>
      <c r="C19" s="1">
        <v>2</v>
      </c>
      <c r="D19" s="1">
        <v>6</v>
      </c>
      <c r="E19" s="1">
        <v>6</v>
      </c>
      <c r="F19" s="1">
        <v>2</v>
      </c>
      <c r="G19" s="1">
        <v>2</v>
      </c>
      <c r="H19" s="1">
        <v>2</v>
      </c>
      <c r="I19" s="1">
        <v>6</v>
      </c>
      <c r="J19" s="1">
        <v>2</v>
      </c>
      <c r="K19" s="1">
        <v>2</v>
      </c>
      <c r="L19" s="1">
        <v>4</v>
      </c>
      <c r="M19" s="1">
        <v>0</v>
      </c>
      <c r="N19" s="1">
        <v>12</v>
      </c>
      <c r="O19" s="1"/>
      <c r="P19" s="1">
        <v>3</v>
      </c>
      <c r="Q19" s="1">
        <v>3</v>
      </c>
      <c r="R19" s="1">
        <v>3</v>
      </c>
      <c r="S19" s="1">
        <v>-6</v>
      </c>
      <c r="T19" s="1">
        <v>-12</v>
      </c>
      <c r="U19" s="1">
        <v>-12</v>
      </c>
      <c r="V19" s="1">
        <v>-12</v>
      </c>
      <c r="W19" s="1">
        <v>3</v>
      </c>
      <c r="X19" s="1">
        <v>-9</v>
      </c>
      <c r="Y19" s="1">
        <v>6</v>
      </c>
      <c r="Z19" s="1">
        <v>0</v>
      </c>
      <c r="AA19" s="1">
        <v>9</v>
      </c>
      <c r="AC19" s="1">
        <v>9</v>
      </c>
      <c r="AD19" s="1">
        <v>3</v>
      </c>
      <c r="AE19" s="1">
        <v>12</v>
      </c>
      <c r="AF19" s="1">
        <v>-12</v>
      </c>
      <c r="AG19" s="1">
        <v>-12</v>
      </c>
      <c r="AH19" s="1">
        <v>-12</v>
      </c>
      <c r="AI19" s="1">
        <v>-12</v>
      </c>
      <c r="AJ19" s="1">
        <v>3</v>
      </c>
      <c r="AK19" s="1">
        <v>-12</v>
      </c>
      <c r="AL19" s="1">
        <v>6</v>
      </c>
      <c r="AM19" s="1">
        <v>0</v>
      </c>
      <c r="AN19" s="1">
        <v>15</v>
      </c>
      <c r="AP19" s="1">
        <v>0.22222222222222221</v>
      </c>
      <c r="AQ19" s="1">
        <v>0.66666666666666663</v>
      </c>
      <c r="AR19" s="1">
        <v>0.66666666666666663</v>
      </c>
      <c r="AS19" s="1">
        <v>0.22222222222222221</v>
      </c>
      <c r="AT19" s="1">
        <v>0.22222222222222221</v>
      </c>
      <c r="AU19" s="1">
        <v>0.22222222222222221</v>
      </c>
      <c r="AV19" s="1">
        <v>0.66666666666666663</v>
      </c>
      <c r="AW19" s="1">
        <v>0.22222222222222221</v>
      </c>
      <c r="AX19" s="1">
        <v>0.22222222222222221</v>
      </c>
      <c r="AY19" s="1">
        <v>0.44444444444444442</v>
      </c>
      <c r="AZ19" s="1">
        <v>0</v>
      </c>
      <c r="BB19" s="1">
        <v>0.5</v>
      </c>
      <c r="BC19" s="1">
        <v>0.5</v>
      </c>
      <c r="BD19" s="1">
        <v>0.5</v>
      </c>
      <c r="BE19" s="1">
        <v>-1</v>
      </c>
      <c r="BF19" s="1">
        <v>-2</v>
      </c>
      <c r="BG19" s="1">
        <v>-2</v>
      </c>
      <c r="BH19" s="1">
        <v>-2</v>
      </c>
      <c r="BI19" s="1">
        <v>0.5</v>
      </c>
      <c r="BJ19" s="1">
        <v>-1.5</v>
      </c>
      <c r="BK19" s="1">
        <v>1</v>
      </c>
      <c r="BL19" s="1">
        <v>0</v>
      </c>
      <c r="BN19" s="1">
        <v>0.75</v>
      </c>
      <c r="BO19" s="1">
        <v>0.25</v>
      </c>
      <c r="BP19" s="1">
        <v>1</v>
      </c>
      <c r="BQ19" s="1">
        <v>-1</v>
      </c>
      <c r="BR19" s="1">
        <v>-1</v>
      </c>
      <c r="BS19" s="1">
        <v>-1</v>
      </c>
      <c r="BT19" s="1">
        <v>-1</v>
      </c>
      <c r="BU19" s="1">
        <v>0.25</v>
      </c>
      <c r="BV19" s="1">
        <v>-1</v>
      </c>
      <c r="BW19" s="1">
        <v>0.5</v>
      </c>
      <c r="BX19" s="1">
        <v>0</v>
      </c>
    </row>
    <row r="20" spans="2:76" x14ac:dyDescent="0.2">
      <c r="B20" t="s">
        <v>25</v>
      </c>
      <c r="C20" s="1">
        <v>2</v>
      </c>
      <c r="D20" s="1">
        <v>6</v>
      </c>
      <c r="E20" s="1">
        <v>6</v>
      </c>
      <c r="F20" s="1">
        <v>2</v>
      </c>
      <c r="G20" s="1">
        <v>2</v>
      </c>
      <c r="H20" s="1">
        <v>2</v>
      </c>
      <c r="I20" s="1">
        <v>6</v>
      </c>
      <c r="J20" s="1">
        <v>2</v>
      </c>
      <c r="K20" s="1">
        <v>2</v>
      </c>
      <c r="L20" s="1">
        <v>4</v>
      </c>
      <c r="M20" s="1">
        <v>0</v>
      </c>
      <c r="N20" s="1">
        <v>12</v>
      </c>
      <c r="O20" s="1"/>
      <c r="P20" s="1">
        <v>3</v>
      </c>
      <c r="Q20" s="1">
        <v>3</v>
      </c>
      <c r="R20" s="1">
        <v>3</v>
      </c>
      <c r="S20" s="1">
        <v>-6</v>
      </c>
      <c r="T20" s="1">
        <v>-12</v>
      </c>
      <c r="U20" s="1">
        <v>-12</v>
      </c>
      <c r="V20" s="1">
        <v>-12</v>
      </c>
      <c r="W20" s="1">
        <v>3</v>
      </c>
      <c r="X20" s="1">
        <v>-9</v>
      </c>
      <c r="Y20" s="1">
        <v>6</v>
      </c>
      <c r="Z20" s="1">
        <v>0</v>
      </c>
      <c r="AA20" s="1">
        <v>9</v>
      </c>
      <c r="AC20" s="1">
        <v>9</v>
      </c>
      <c r="AD20" s="1">
        <v>3</v>
      </c>
      <c r="AE20" s="1">
        <v>12</v>
      </c>
      <c r="AF20" s="1">
        <v>-12</v>
      </c>
      <c r="AG20" s="1">
        <v>-12</v>
      </c>
      <c r="AH20" s="1">
        <v>-12</v>
      </c>
      <c r="AI20" s="1">
        <v>-12</v>
      </c>
      <c r="AJ20" s="1">
        <v>3</v>
      </c>
      <c r="AK20" s="1">
        <v>-12</v>
      </c>
      <c r="AL20" s="1">
        <v>6</v>
      </c>
      <c r="AM20" s="1">
        <v>0</v>
      </c>
      <c r="AN20" s="1">
        <v>15</v>
      </c>
      <c r="AP20" s="1">
        <v>0.22222222222222221</v>
      </c>
      <c r="AQ20" s="1">
        <v>0.66666666666666663</v>
      </c>
      <c r="AR20" s="1">
        <v>0.66666666666666663</v>
      </c>
      <c r="AS20" s="1">
        <v>0.22222222222222221</v>
      </c>
      <c r="AT20" s="1">
        <v>0.22222222222222221</v>
      </c>
      <c r="AU20" s="1">
        <v>0.22222222222222221</v>
      </c>
      <c r="AV20" s="1">
        <v>0.66666666666666663</v>
      </c>
      <c r="AW20" s="1">
        <v>0.22222222222222221</v>
      </c>
      <c r="AX20" s="1">
        <v>0.22222222222222221</v>
      </c>
      <c r="AY20" s="1">
        <v>0.44444444444444442</v>
      </c>
      <c r="AZ20" s="1">
        <v>0</v>
      </c>
      <c r="BB20" s="1">
        <v>0.5</v>
      </c>
      <c r="BC20" s="1">
        <v>0.5</v>
      </c>
      <c r="BD20" s="1">
        <v>0.5</v>
      </c>
      <c r="BE20" s="1">
        <v>-1</v>
      </c>
      <c r="BF20" s="1">
        <v>-2</v>
      </c>
      <c r="BG20" s="1">
        <v>-2</v>
      </c>
      <c r="BH20" s="1">
        <v>-2</v>
      </c>
      <c r="BI20" s="1">
        <v>0.5</v>
      </c>
      <c r="BJ20" s="1">
        <v>-1.5</v>
      </c>
      <c r="BK20" s="1">
        <v>1</v>
      </c>
      <c r="BL20" s="1">
        <v>0</v>
      </c>
      <c r="BN20" s="1">
        <v>0.75</v>
      </c>
      <c r="BO20" s="1">
        <v>0.25</v>
      </c>
      <c r="BP20" s="1">
        <v>1</v>
      </c>
      <c r="BQ20" s="1">
        <v>-1</v>
      </c>
      <c r="BR20" s="1">
        <v>-1</v>
      </c>
      <c r="BS20" s="1">
        <v>-1</v>
      </c>
      <c r="BT20" s="1">
        <v>-1</v>
      </c>
      <c r="BU20" s="1">
        <v>0.25</v>
      </c>
      <c r="BV20" s="1">
        <v>-1</v>
      </c>
      <c r="BW20" s="1">
        <v>0.5</v>
      </c>
      <c r="BX20" s="1">
        <v>0</v>
      </c>
    </row>
    <row r="21" spans="2:76" x14ac:dyDescent="0.2">
      <c r="B21" t="s">
        <v>25</v>
      </c>
      <c r="C21" s="1">
        <v>2</v>
      </c>
      <c r="D21" s="1">
        <v>6</v>
      </c>
      <c r="E21" s="1">
        <v>6</v>
      </c>
      <c r="F21" s="1">
        <v>2</v>
      </c>
      <c r="G21" s="1">
        <v>2</v>
      </c>
      <c r="H21" s="1">
        <v>2</v>
      </c>
      <c r="I21" s="1">
        <v>6</v>
      </c>
      <c r="J21" s="1">
        <v>2</v>
      </c>
      <c r="K21" s="1">
        <v>2</v>
      </c>
      <c r="L21" s="1">
        <v>4</v>
      </c>
      <c r="M21" s="1">
        <v>0</v>
      </c>
      <c r="N21" s="1">
        <v>12</v>
      </c>
      <c r="O21" s="1"/>
      <c r="P21" s="1">
        <v>3</v>
      </c>
      <c r="Q21" s="1">
        <v>3</v>
      </c>
      <c r="R21" s="1">
        <v>3</v>
      </c>
      <c r="S21" s="1">
        <v>-6</v>
      </c>
      <c r="T21" s="1">
        <v>-12</v>
      </c>
      <c r="U21" s="1">
        <v>-12</v>
      </c>
      <c r="V21" s="1">
        <v>-12</v>
      </c>
      <c r="W21" s="1">
        <v>3</v>
      </c>
      <c r="X21" s="1">
        <v>-9</v>
      </c>
      <c r="Y21" s="1">
        <v>6</v>
      </c>
      <c r="Z21" s="1">
        <v>0</v>
      </c>
      <c r="AA21" s="1">
        <v>9</v>
      </c>
      <c r="AC21" s="1">
        <v>9</v>
      </c>
      <c r="AD21" s="1">
        <v>3</v>
      </c>
      <c r="AE21" s="1">
        <v>12</v>
      </c>
      <c r="AF21" s="1">
        <v>-12</v>
      </c>
      <c r="AG21" s="1">
        <v>-12</v>
      </c>
      <c r="AH21" s="1">
        <v>-12</v>
      </c>
      <c r="AI21" s="1">
        <v>-12</v>
      </c>
      <c r="AJ21" s="1">
        <v>3</v>
      </c>
      <c r="AK21" s="1">
        <v>-12</v>
      </c>
      <c r="AL21" s="1">
        <v>6</v>
      </c>
      <c r="AM21" s="1">
        <v>0</v>
      </c>
      <c r="AN21" s="1">
        <v>15</v>
      </c>
      <c r="AP21" s="1">
        <v>0.22222222222222221</v>
      </c>
      <c r="AQ21" s="1">
        <v>0.66666666666666663</v>
      </c>
      <c r="AR21" s="1">
        <v>0.66666666666666663</v>
      </c>
      <c r="AS21" s="1">
        <v>0.22222222222222221</v>
      </c>
      <c r="AT21" s="1">
        <v>0.22222222222222221</v>
      </c>
      <c r="AU21" s="1">
        <v>0.22222222222222221</v>
      </c>
      <c r="AV21" s="1">
        <v>0.66666666666666663</v>
      </c>
      <c r="AW21" s="1">
        <v>0.22222222222222221</v>
      </c>
      <c r="AX21" s="1">
        <v>0.22222222222222221</v>
      </c>
      <c r="AY21" s="1">
        <v>0.44444444444444442</v>
      </c>
      <c r="AZ21" s="1">
        <v>0</v>
      </c>
      <c r="BB21" s="1">
        <v>0.5</v>
      </c>
      <c r="BC21" s="1">
        <v>0.5</v>
      </c>
      <c r="BD21" s="1">
        <v>0.5</v>
      </c>
      <c r="BE21" s="1">
        <v>-1</v>
      </c>
      <c r="BF21" s="1">
        <v>-2</v>
      </c>
      <c r="BG21" s="1">
        <v>-2</v>
      </c>
      <c r="BH21" s="1">
        <v>-2</v>
      </c>
      <c r="BI21" s="1">
        <v>0.5</v>
      </c>
      <c r="BJ21" s="1">
        <v>-1.5</v>
      </c>
      <c r="BK21" s="1">
        <v>1</v>
      </c>
      <c r="BL21" s="1">
        <v>0</v>
      </c>
      <c r="BN21" s="1">
        <v>0.75</v>
      </c>
      <c r="BO21" s="1">
        <v>0.25</v>
      </c>
      <c r="BP21" s="1">
        <v>1</v>
      </c>
      <c r="BQ21" s="1">
        <v>-1</v>
      </c>
      <c r="BR21" s="1">
        <v>-1</v>
      </c>
      <c r="BS21" s="1">
        <v>-1</v>
      </c>
      <c r="BT21" s="1">
        <v>-1</v>
      </c>
      <c r="BU21" s="1">
        <v>0.25</v>
      </c>
      <c r="BV21" s="1">
        <v>-1</v>
      </c>
      <c r="BW21" s="1">
        <v>0.5</v>
      </c>
      <c r="BX21" s="1">
        <v>0</v>
      </c>
    </row>
    <row r="22" spans="2:76" x14ac:dyDescent="0.2">
      <c r="B22" t="s">
        <v>25</v>
      </c>
      <c r="C22" s="1">
        <v>2</v>
      </c>
      <c r="D22" s="1">
        <v>6</v>
      </c>
      <c r="E22" s="1">
        <v>6</v>
      </c>
      <c r="F22" s="1">
        <v>2</v>
      </c>
      <c r="G22" s="1">
        <v>2</v>
      </c>
      <c r="H22" s="1">
        <v>2</v>
      </c>
      <c r="I22" s="1">
        <v>6</v>
      </c>
      <c r="J22" s="1">
        <v>2</v>
      </c>
      <c r="K22" s="1">
        <v>2</v>
      </c>
      <c r="L22" s="1">
        <v>4</v>
      </c>
      <c r="M22" s="1">
        <v>0</v>
      </c>
      <c r="N22" s="1">
        <v>12</v>
      </c>
      <c r="O22" s="1"/>
      <c r="P22" s="1">
        <v>3</v>
      </c>
      <c r="Q22" s="1">
        <v>3</v>
      </c>
      <c r="R22" s="1">
        <v>3</v>
      </c>
      <c r="S22" s="1">
        <v>-6</v>
      </c>
      <c r="T22" s="1">
        <v>-12</v>
      </c>
      <c r="U22" s="1">
        <v>-12</v>
      </c>
      <c r="V22" s="1">
        <v>-12</v>
      </c>
      <c r="W22" s="1">
        <v>3</v>
      </c>
      <c r="X22" s="1">
        <v>-9</v>
      </c>
      <c r="Y22" s="1">
        <v>6</v>
      </c>
      <c r="Z22" s="1">
        <v>0</v>
      </c>
      <c r="AA22" s="1">
        <v>9</v>
      </c>
      <c r="AC22" s="1">
        <v>9</v>
      </c>
      <c r="AD22" s="1">
        <v>3</v>
      </c>
      <c r="AE22" s="1">
        <v>12</v>
      </c>
      <c r="AF22" s="1">
        <v>-12</v>
      </c>
      <c r="AG22" s="1">
        <v>-12</v>
      </c>
      <c r="AH22" s="1">
        <v>-12</v>
      </c>
      <c r="AI22" s="1">
        <v>-12</v>
      </c>
      <c r="AJ22" s="1">
        <v>3</v>
      </c>
      <c r="AK22" s="1">
        <v>-12</v>
      </c>
      <c r="AL22" s="1">
        <v>6</v>
      </c>
      <c r="AM22" s="1">
        <v>0</v>
      </c>
      <c r="AN22" s="1">
        <v>15</v>
      </c>
      <c r="AP22" s="1">
        <v>0.22222222222222221</v>
      </c>
      <c r="AQ22" s="1">
        <v>0.66666666666666663</v>
      </c>
      <c r="AR22" s="1">
        <v>0.66666666666666663</v>
      </c>
      <c r="AS22" s="1">
        <v>0.22222222222222221</v>
      </c>
      <c r="AT22" s="1">
        <v>0.22222222222222221</v>
      </c>
      <c r="AU22" s="1">
        <v>0.22222222222222221</v>
      </c>
      <c r="AV22" s="1">
        <v>0.66666666666666663</v>
      </c>
      <c r="AW22" s="1">
        <v>0.22222222222222221</v>
      </c>
      <c r="AX22" s="1">
        <v>0.22222222222222221</v>
      </c>
      <c r="AY22" s="1">
        <v>0.44444444444444442</v>
      </c>
      <c r="AZ22" s="1">
        <v>0</v>
      </c>
      <c r="BB22" s="1">
        <v>0.5</v>
      </c>
      <c r="BC22" s="1">
        <v>0.5</v>
      </c>
      <c r="BD22" s="1">
        <v>0.5</v>
      </c>
      <c r="BE22" s="1">
        <v>-1</v>
      </c>
      <c r="BF22" s="1">
        <v>-2</v>
      </c>
      <c r="BG22" s="1">
        <v>-2</v>
      </c>
      <c r="BH22" s="1">
        <v>-2</v>
      </c>
      <c r="BI22" s="1">
        <v>0.5</v>
      </c>
      <c r="BJ22" s="1">
        <v>-1.5</v>
      </c>
      <c r="BK22" s="1">
        <v>1</v>
      </c>
      <c r="BL22" s="1">
        <v>0</v>
      </c>
      <c r="BN22" s="1">
        <v>0.75</v>
      </c>
      <c r="BO22" s="1">
        <v>0.25</v>
      </c>
      <c r="BP22" s="1">
        <v>1</v>
      </c>
      <c r="BQ22" s="1">
        <v>-1</v>
      </c>
      <c r="BR22" s="1">
        <v>-1</v>
      </c>
      <c r="BS22" s="1">
        <v>-1</v>
      </c>
      <c r="BT22" s="1">
        <v>-1</v>
      </c>
      <c r="BU22" s="1">
        <v>0.25</v>
      </c>
      <c r="BV22" s="1">
        <v>-1</v>
      </c>
      <c r="BW22" s="1">
        <v>0.5</v>
      </c>
      <c r="BX22" s="1">
        <v>0</v>
      </c>
    </row>
    <row r="23" spans="2:76" x14ac:dyDescent="0.2">
      <c r="B23" t="s">
        <v>25</v>
      </c>
      <c r="C23" s="1">
        <v>2</v>
      </c>
      <c r="D23" s="1">
        <v>6</v>
      </c>
      <c r="E23" s="1">
        <v>6</v>
      </c>
      <c r="F23" s="1">
        <v>2</v>
      </c>
      <c r="G23" s="1">
        <v>2</v>
      </c>
      <c r="H23" s="1">
        <v>2</v>
      </c>
      <c r="I23" s="1">
        <v>6</v>
      </c>
      <c r="J23" s="1">
        <v>2</v>
      </c>
      <c r="K23" s="1">
        <v>2</v>
      </c>
      <c r="L23" s="1">
        <v>4</v>
      </c>
      <c r="M23" s="1">
        <v>0</v>
      </c>
      <c r="N23" s="1">
        <v>12</v>
      </c>
      <c r="O23" s="1"/>
      <c r="P23" s="1">
        <v>3</v>
      </c>
      <c r="Q23" s="1">
        <v>3</v>
      </c>
      <c r="R23" s="1">
        <v>3</v>
      </c>
      <c r="S23" s="1">
        <v>-6</v>
      </c>
      <c r="T23" s="1">
        <v>-12</v>
      </c>
      <c r="U23" s="1">
        <v>-12</v>
      </c>
      <c r="V23" s="1">
        <v>-12</v>
      </c>
      <c r="W23" s="1">
        <v>3</v>
      </c>
      <c r="X23" s="1">
        <v>-9</v>
      </c>
      <c r="Y23" s="1">
        <v>6</v>
      </c>
      <c r="Z23" s="1">
        <v>0</v>
      </c>
      <c r="AA23" s="1">
        <v>9</v>
      </c>
      <c r="AC23" s="1">
        <v>9</v>
      </c>
      <c r="AD23" s="1">
        <v>3</v>
      </c>
      <c r="AE23" s="1">
        <v>12</v>
      </c>
      <c r="AF23" s="1">
        <v>-12</v>
      </c>
      <c r="AG23" s="1">
        <v>-12</v>
      </c>
      <c r="AH23" s="1">
        <v>-12</v>
      </c>
      <c r="AI23" s="1">
        <v>-12</v>
      </c>
      <c r="AJ23" s="1">
        <v>3</v>
      </c>
      <c r="AK23" s="1">
        <v>-12</v>
      </c>
      <c r="AL23" s="1">
        <v>6</v>
      </c>
      <c r="AM23" s="1">
        <v>0</v>
      </c>
      <c r="AN23" s="1">
        <v>15</v>
      </c>
      <c r="AP23" s="1">
        <v>0.22222222222222221</v>
      </c>
      <c r="AQ23" s="1">
        <v>0.66666666666666663</v>
      </c>
      <c r="AR23" s="1">
        <v>0.66666666666666663</v>
      </c>
      <c r="AS23" s="1">
        <v>0.22222222222222221</v>
      </c>
      <c r="AT23" s="1">
        <v>0.22222222222222221</v>
      </c>
      <c r="AU23" s="1">
        <v>0.22222222222222221</v>
      </c>
      <c r="AV23" s="1">
        <v>0.66666666666666663</v>
      </c>
      <c r="AW23" s="1">
        <v>0.22222222222222221</v>
      </c>
      <c r="AX23" s="1">
        <v>0.22222222222222221</v>
      </c>
      <c r="AY23" s="1">
        <v>0.44444444444444442</v>
      </c>
      <c r="AZ23" s="1">
        <v>0</v>
      </c>
      <c r="BB23" s="1">
        <v>0.5</v>
      </c>
      <c r="BC23" s="1">
        <v>0.5</v>
      </c>
      <c r="BD23" s="1">
        <v>0.5</v>
      </c>
      <c r="BE23" s="1">
        <v>-1</v>
      </c>
      <c r="BF23" s="1">
        <v>-2</v>
      </c>
      <c r="BG23" s="1">
        <v>-2</v>
      </c>
      <c r="BH23" s="1">
        <v>-2</v>
      </c>
      <c r="BI23" s="1">
        <v>0.5</v>
      </c>
      <c r="BJ23" s="1">
        <v>-1.5</v>
      </c>
      <c r="BK23" s="1">
        <v>1</v>
      </c>
      <c r="BL23" s="1">
        <v>0</v>
      </c>
      <c r="BN23" s="1">
        <v>0.75</v>
      </c>
      <c r="BO23" s="1">
        <v>0.25</v>
      </c>
      <c r="BP23" s="1">
        <v>1</v>
      </c>
      <c r="BQ23" s="1">
        <v>-1</v>
      </c>
      <c r="BR23" s="1">
        <v>-1</v>
      </c>
      <c r="BS23" s="1">
        <v>-1</v>
      </c>
      <c r="BT23" s="1">
        <v>-1</v>
      </c>
      <c r="BU23" s="1">
        <v>0.25</v>
      </c>
      <c r="BV23" s="1">
        <v>-1</v>
      </c>
      <c r="BW23" s="1">
        <v>0.5</v>
      </c>
      <c r="BX23" s="1">
        <v>0</v>
      </c>
    </row>
    <row r="24" spans="2:76" x14ac:dyDescent="0.2">
      <c r="B24" t="s">
        <v>25</v>
      </c>
      <c r="C24" s="1">
        <v>2</v>
      </c>
      <c r="D24" s="1">
        <v>6</v>
      </c>
      <c r="E24" s="1">
        <v>6</v>
      </c>
      <c r="F24" s="1">
        <v>2</v>
      </c>
      <c r="G24" s="1">
        <v>2</v>
      </c>
      <c r="H24" s="1">
        <v>2</v>
      </c>
      <c r="I24" s="1">
        <v>6</v>
      </c>
      <c r="J24" s="1">
        <v>2</v>
      </c>
      <c r="K24" s="1">
        <v>2</v>
      </c>
      <c r="L24" s="1">
        <v>4</v>
      </c>
      <c r="M24" s="1">
        <v>0</v>
      </c>
      <c r="N24" s="1">
        <v>12</v>
      </c>
      <c r="O24" s="1"/>
      <c r="P24" s="1">
        <v>3</v>
      </c>
      <c r="Q24" s="1">
        <v>3</v>
      </c>
      <c r="R24" s="1">
        <v>3</v>
      </c>
      <c r="S24" s="1">
        <v>-6</v>
      </c>
      <c r="T24" s="1">
        <v>-12</v>
      </c>
      <c r="U24" s="1">
        <v>-12</v>
      </c>
      <c r="V24" s="1">
        <v>-12</v>
      </c>
      <c r="W24" s="1">
        <v>3</v>
      </c>
      <c r="X24" s="1">
        <v>-9</v>
      </c>
      <c r="Y24" s="1">
        <v>6</v>
      </c>
      <c r="Z24" s="1">
        <v>0</v>
      </c>
      <c r="AA24" s="1">
        <v>9</v>
      </c>
      <c r="AC24" s="1">
        <v>9</v>
      </c>
      <c r="AD24" s="1">
        <v>3</v>
      </c>
      <c r="AE24" s="1">
        <v>12</v>
      </c>
      <c r="AF24" s="1">
        <v>-12</v>
      </c>
      <c r="AG24" s="1">
        <v>-12</v>
      </c>
      <c r="AH24" s="1">
        <v>-12</v>
      </c>
      <c r="AI24" s="1">
        <v>-12</v>
      </c>
      <c r="AJ24" s="1">
        <v>3</v>
      </c>
      <c r="AK24" s="1">
        <v>-12</v>
      </c>
      <c r="AL24" s="1">
        <v>6</v>
      </c>
      <c r="AM24" s="1">
        <v>0</v>
      </c>
      <c r="AN24" s="1">
        <v>15</v>
      </c>
      <c r="AP24" s="1">
        <v>0.22222222222222221</v>
      </c>
      <c r="AQ24" s="1">
        <v>0.66666666666666663</v>
      </c>
      <c r="AR24" s="1">
        <v>0.66666666666666663</v>
      </c>
      <c r="AS24" s="1">
        <v>0.22222222222222221</v>
      </c>
      <c r="AT24" s="1">
        <v>0.22222222222222221</v>
      </c>
      <c r="AU24" s="1">
        <v>0.22222222222222221</v>
      </c>
      <c r="AV24" s="1">
        <v>0.66666666666666663</v>
      </c>
      <c r="AW24" s="1">
        <v>0.22222222222222221</v>
      </c>
      <c r="AX24" s="1">
        <v>0.22222222222222221</v>
      </c>
      <c r="AY24" s="1">
        <v>0.44444444444444442</v>
      </c>
      <c r="AZ24" s="1">
        <v>0</v>
      </c>
      <c r="BB24" s="1">
        <v>0.5</v>
      </c>
      <c r="BC24" s="1">
        <v>0.5</v>
      </c>
      <c r="BD24" s="1">
        <v>0.5</v>
      </c>
      <c r="BE24" s="1">
        <v>-1</v>
      </c>
      <c r="BF24" s="1">
        <v>-2</v>
      </c>
      <c r="BG24" s="1">
        <v>-2</v>
      </c>
      <c r="BH24" s="1">
        <v>-2</v>
      </c>
      <c r="BI24" s="1">
        <v>0.5</v>
      </c>
      <c r="BJ24" s="1">
        <v>-1.5</v>
      </c>
      <c r="BK24" s="1">
        <v>1</v>
      </c>
      <c r="BL24" s="1">
        <v>0</v>
      </c>
      <c r="BN24" s="1">
        <v>0.75</v>
      </c>
      <c r="BO24" s="1">
        <v>0.25</v>
      </c>
      <c r="BP24" s="1">
        <v>1</v>
      </c>
      <c r="BQ24" s="1">
        <v>-1</v>
      </c>
      <c r="BR24" s="1">
        <v>-1</v>
      </c>
      <c r="BS24" s="1">
        <v>-1</v>
      </c>
      <c r="BT24" s="1">
        <v>-1</v>
      </c>
      <c r="BU24" s="1">
        <v>0.25</v>
      </c>
      <c r="BV24" s="1">
        <v>-1</v>
      </c>
      <c r="BW24" s="1">
        <v>0.5</v>
      </c>
      <c r="BX24" s="1">
        <v>0</v>
      </c>
    </row>
    <row r="25" spans="2:76" x14ac:dyDescent="0.2">
      <c r="M25">
        <v>9</v>
      </c>
      <c r="Z25">
        <v>6</v>
      </c>
      <c r="AM25">
        <v>12</v>
      </c>
      <c r="AZ25">
        <v>1</v>
      </c>
      <c r="BL25">
        <v>1</v>
      </c>
      <c r="BX25">
        <v>1</v>
      </c>
    </row>
    <row r="26" spans="2:76" x14ac:dyDescent="0.2">
      <c r="N26" s="1">
        <v>294</v>
      </c>
      <c r="P26" s="1">
        <v>-4</v>
      </c>
      <c r="Q26">
        <v>2</v>
      </c>
      <c r="AA26" s="1">
        <v>123</v>
      </c>
      <c r="AN26" s="1">
        <v>205</v>
      </c>
    </row>
    <row r="27" spans="2:76" x14ac:dyDescent="0.2">
      <c r="P27" s="1">
        <v>-4</v>
      </c>
      <c r="Q27">
        <v>2</v>
      </c>
    </row>
    <row r="28" spans="2:76" x14ac:dyDescent="0.2">
      <c r="C28" t="s">
        <v>4</v>
      </c>
      <c r="D28" t="s">
        <v>5</v>
      </c>
      <c r="E28" t="s">
        <v>6</v>
      </c>
      <c r="H28" t="s">
        <v>4</v>
      </c>
      <c r="I28" t="s">
        <v>5</v>
      </c>
      <c r="J28" t="s">
        <v>6</v>
      </c>
      <c r="P28" s="1">
        <v>-4</v>
      </c>
      <c r="Q28">
        <v>2</v>
      </c>
    </row>
    <row r="29" spans="2:76" x14ac:dyDescent="0.2">
      <c r="B29" t="s">
        <v>11</v>
      </c>
      <c r="C29" t="s">
        <v>30</v>
      </c>
      <c r="D29" t="s">
        <v>30</v>
      </c>
      <c r="E29" t="s">
        <v>31</v>
      </c>
      <c r="G29" t="s">
        <v>23</v>
      </c>
      <c r="H29">
        <v>3</v>
      </c>
      <c r="I29">
        <v>1</v>
      </c>
      <c r="J29">
        <v>1</v>
      </c>
      <c r="P29" s="1">
        <v>-4</v>
      </c>
      <c r="Q29">
        <v>2</v>
      </c>
    </row>
    <row r="30" spans="2:76" x14ac:dyDescent="0.2">
      <c r="B30" t="s">
        <v>12</v>
      </c>
      <c r="C30" t="s">
        <v>31</v>
      </c>
      <c r="D30" t="s">
        <v>30</v>
      </c>
      <c r="E30" t="s">
        <v>30</v>
      </c>
      <c r="G30" t="s">
        <v>35</v>
      </c>
      <c r="H30">
        <v>1</v>
      </c>
      <c r="I30">
        <v>2</v>
      </c>
      <c r="J30">
        <v>2</v>
      </c>
      <c r="K30" t="s">
        <v>34</v>
      </c>
      <c r="L30">
        <v>9</v>
      </c>
      <c r="M30">
        <v>0</v>
      </c>
      <c r="P30" s="1">
        <v>-4</v>
      </c>
      <c r="Q30">
        <v>2</v>
      </c>
      <c r="X30" t="s">
        <v>34</v>
      </c>
      <c r="Y30">
        <v>2</v>
      </c>
      <c r="Z30">
        <v>-4</v>
      </c>
      <c r="AI30" t="s">
        <v>34</v>
      </c>
      <c r="AJ30">
        <v>4</v>
      </c>
      <c r="AK30">
        <v>-4</v>
      </c>
    </row>
    <row r="31" spans="2:76" x14ac:dyDescent="0.2">
      <c r="B31" t="s">
        <v>13</v>
      </c>
      <c r="C31" t="s">
        <v>31</v>
      </c>
      <c r="D31" t="s">
        <v>30</v>
      </c>
      <c r="E31" t="s">
        <v>38</v>
      </c>
      <c r="G31" t="s">
        <v>25</v>
      </c>
      <c r="H31">
        <v>2</v>
      </c>
      <c r="I31">
        <v>3</v>
      </c>
      <c r="J31">
        <v>3</v>
      </c>
      <c r="K31" t="s">
        <v>34</v>
      </c>
      <c r="L31">
        <v>9</v>
      </c>
      <c r="M31">
        <v>0</v>
      </c>
      <c r="P31" s="1">
        <v>-4</v>
      </c>
      <c r="Q31">
        <v>2</v>
      </c>
      <c r="X31" t="s">
        <v>34</v>
      </c>
      <c r="Y31">
        <v>2</v>
      </c>
      <c r="Z31">
        <v>-4</v>
      </c>
      <c r="AI31" t="s">
        <v>34</v>
      </c>
      <c r="AJ31">
        <v>4</v>
      </c>
      <c r="AK31">
        <v>-4</v>
      </c>
    </row>
    <row r="32" spans="2:76" x14ac:dyDescent="0.2">
      <c r="B32" t="s">
        <v>14</v>
      </c>
      <c r="C32" t="s">
        <v>30</v>
      </c>
      <c r="D32" s="2" t="s">
        <v>42</v>
      </c>
      <c r="E32" s="2" t="s">
        <v>43</v>
      </c>
      <c r="K32" t="s">
        <v>34</v>
      </c>
      <c r="L32">
        <v>9</v>
      </c>
      <c r="M32">
        <v>0</v>
      </c>
      <c r="P32" s="1">
        <v>-4</v>
      </c>
      <c r="Q32">
        <v>2</v>
      </c>
      <c r="X32" t="s">
        <v>34</v>
      </c>
      <c r="Y32">
        <v>2</v>
      </c>
      <c r="Z32">
        <v>-4</v>
      </c>
      <c r="AI32" t="s">
        <v>34</v>
      </c>
      <c r="AJ32">
        <v>4</v>
      </c>
      <c r="AK32">
        <v>-4</v>
      </c>
    </row>
    <row r="33" spans="2:37" x14ac:dyDescent="0.2">
      <c r="B33" t="s">
        <v>15</v>
      </c>
      <c r="C33" t="s">
        <v>30</v>
      </c>
      <c r="D33" s="2" t="s">
        <v>43</v>
      </c>
      <c r="E33" s="2" t="s">
        <v>43</v>
      </c>
      <c r="H33" s="2" t="s">
        <v>43</v>
      </c>
      <c r="I33">
        <v>-4</v>
      </c>
      <c r="K33" t="s">
        <v>34</v>
      </c>
      <c r="L33">
        <v>9</v>
      </c>
      <c r="M33">
        <v>0</v>
      </c>
      <c r="P33" s="1">
        <v>-4</v>
      </c>
      <c r="Q33">
        <v>2</v>
      </c>
      <c r="X33" t="s">
        <v>34</v>
      </c>
      <c r="Y33">
        <v>2</v>
      </c>
      <c r="Z33">
        <v>-4</v>
      </c>
      <c r="AI33" t="s">
        <v>34</v>
      </c>
      <c r="AJ33">
        <v>4</v>
      </c>
      <c r="AK33">
        <v>-4</v>
      </c>
    </row>
    <row r="34" spans="2:37" x14ac:dyDescent="0.2">
      <c r="B34" t="s">
        <v>16</v>
      </c>
      <c r="C34" t="s">
        <v>30</v>
      </c>
      <c r="D34" s="2" t="s">
        <v>43</v>
      </c>
      <c r="E34" s="2" t="s">
        <v>43</v>
      </c>
      <c r="H34" s="2" t="s">
        <v>41</v>
      </c>
      <c r="I34">
        <v>-3</v>
      </c>
      <c r="K34" t="s">
        <v>34</v>
      </c>
      <c r="L34">
        <v>9</v>
      </c>
      <c r="M34">
        <v>0</v>
      </c>
      <c r="P34" s="1">
        <v>-4</v>
      </c>
      <c r="Q34">
        <v>2</v>
      </c>
      <c r="X34" t="s">
        <v>34</v>
      </c>
      <c r="Y34">
        <v>2</v>
      </c>
      <c r="Z34">
        <v>-4</v>
      </c>
      <c r="AI34" t="s">
        <v>34</v>
      </c>
      <c r="AJ34">
        <v>4</v>
      </c>
      <c r="AK34">
        <v>-4</v>
      </c>
    </row>
    <row r="35" spans="2:37" x14ac:dyDescent="0.2">
      <c r="B35" t="s">
        <v>17</v>
      </c>
      <c r="C35" t="s">
        <v>31</v>
      </c>
      <c r="D35" s="2" t="s">
        <v>43</v>
      </c>
      <c r="E35" s="2" t="s">
        <v>43</v>
      </c>
      <c r="H35" s="2" t="s">
        <v>42</v>
      </c>
      <c r="I35">
        <v>-2</v>
      </c>
      <c r="K35" t="s">
        <v>34</v>
      </c>
      <c r="L35">
        <v>9</v>
      </c>
      <c r="M35">
        <v>0</v>
      </c>
      <c r="P35" s="1">
        <v>-4</v>
      </c>
      <c r="Q35">
        <v>2</v>
      </c>
      <c r="X35" t="s">
        <v>34</v>
      </c>
      <c r="Y35">
        <v>2</v>
      </c>
      <c r="Z35">
        <v>-4</v>
      </c>
      <c r="AI35" t="s">
        <v>34</v>
      </c>
      <c r="AJ35">
        <v>4</v>
      </c>
      <c r="AK35">
        <v>-4</v>
      </c>
    </row>
    <row r="36" spans="2:37" x14ac:dyDescent="0.2">
      <c r="B36" t="s">
        <v>18</v>
      </c>
      <c r="C36" t="s">
        <v>30</v>
      </c>
      <c r="D36" t="s">
        <v>30</v>
      </c>
      <c r="E36" t="s">
        <v>30</v>
      </c>
      <c r="H36" t="s">
        <v>49</v>
      </c>
      <c r="I36">
        <v>0</v>
      </c>
      <c r="K36" t="s">
        <v>34</v>
      </c>
      <c r="L36">
        <v>9</v>
      </c>
      <c r="M36">
        <v>0</v>
      </c>
      <c r="P36" s="1">
        <v>-8</v>
      </c>
      <c r="Q36">
        <v>4</v>
      </c>
      <c r="X36" t="s">
        <v>34</v>
      </c>
      <c r="Y36">
        <v>2</v>
      </c>
      <c r="Z36">
        <v>-4</v>
      </c>
      <c r="AI36" t="s">
        <v>34</v>
      </c>
      <c r="AJ36">
        <v>4</v>
      </c>
      <c r="AK36">
        <v>-4</v>
      </c>
    </row>
    <row r="37" spans="2:37" x14ac:dyDescent="0.2">
      <c r="B37" t="s">
        <v>19</v>
      </c>
      <c r="C37" t="s">
        <v>30</v>
      </c>
      <c r="D37" s="2" t="s">
        <v>41</v>
      </c>
      <c r="E37" s="2" t="s">
        <v>43</v>
      </c>
      <c r="H37" t="s">
        <v>30</v>
      </c>
      <c r="I37">
        <v>1</v>
      </c>
      <c r="K37" t="s">
        <v>34</v>
      </c>
      <c r="L37">
        <v>9</v>
      </c>
      <c r="M37">
        <v>0</v>
      </c>
      <c r="P37" s="1">
        <v>-8</v>
      </c>
      <c r="Q37">
        <v>4</v>
      </c>
      <c r="X37" t="s">
        <v>34</v>
      </c>
      <c r="Y37">
        <v>2</v>
      </c>
      <c r="Z37">
        <v>-4</v>
      </c>
      <c r="AI37" t="s">
        <v>34</v>
      </c>
      <c r="AJ37">
        <v>4</v>
      </c>
      <c r="AK37">
        <v>-4</v>
      </c>
    </row>
    <row r="38" spans="2:37" x14ac:dyDescent="0.2">
      <c r="B38" t="s">
        <v>20</v>
      </c>
      <c r="C38" t="s">
        <v>52</v>
      </c>
      <c r="D38" t="s">
        <v>52</v>
      </c>
      <c r="E38" t="s">
        <v>52</v>
      </c>
      <c r="H38" t="s">
        <v>52</v>
      </c>
      <c r="I38">
        <v>2</v>
      </c>
      <c r="K38" t="s">
        <v>34</v>
      </c>
      <c r="L38">
        <v>9</v>
      </c>
      <c r="M38">
        <v>0</v>
      </c>
      <c r="P38" s="1">
        <v>-56</v>
      </c>
      <c r="Q38" s="1">
        <v>28</v>
      </c>
      <c r="X38" t="s">
        <v>34</v>
      </c>
      <c r="Y38">
        <v>2</v>
      </c>
      <c r="Z38">
        <v>-4</v>
      </c>
      <c r="AI38" t="s">
        <v>34</v>
      </c>
      <c r="AJ38">
        <v>4</v>
      </c>
      <c r="AK38">
        <v>-4</v>
      </c>
    </row>
    <row r="39" spans="2:37" x14ac:dyDescent="0.2">
      <c r="B39" t="s">
        <v>21</v>
      </c>
      <c r="C39" t="s">
        <v>49</v>
      </c>
      <c r="D39" t="s">
        <v>49</v>
      </c>
      <c r="E39" t="s">
        <v>49</v>
      </c>
      <c r="H39" t="s">
        <v>31</v>
      </c>
      <c r="I39">
        <v>3</v>
      </c>
      <c r="K39" t="s">
        <v>34</v>
      </c>
      <c r="L39">
        <v>9</v>
      </c>
      <c r="M39">
        <v>0</v>
      </c>
      <c r="X39" t="s">
        <v>34</v>
      </c>
      <c r="Y39">
        <v>2</v>
      </c>
      <c r="Z39">
        <v>-4</v>
      </c>
      <c r="AI39" t="s">
        <v>34</v>
      </c>
      <c r="AJ39">
        <v>4</v>
      </c>
      <c r="AK39">
        <v>-4</v>
      </c>
    </row>
    <row r="40" spans="2:37" x14ac:dyDescent="0.2">
      <c r="H40" t="s">
        <v>38</v>
      </c>
      <c r="I40">
        <v>4</v>
      </c>
      <c r="K40" t="s">
        <v>34</v>
      </c>
      <c r="L40">
        <v>3</v>
      </c>
      <c r="M40">
        <v>0</v>
      </c>
      <c r="X40" t="s">
        <v>34</v>
      </c>
      <c r="Y40">
        <v>4</v>
      </c>
      <c r="Z40">
        <v>-8</v>
      </c>
      <c r="AI40" t="s">
        <v>34</v>
      </c>
      <c r="AJ40">
        <v>8</v>
      </c>
      <c r="AK40">
        <v>-8</v>
      </c>
    </row>
    <row r="41" spans="2:37" x14ac:dyDescent="0.2">
      <c r="K41" t="s">
        <v>34</v>
      </c>
      <c r="L41">
        <v>3</v>
      </c>
      <c r="M41">
        <v>0</v>
      </c>
      <c r="X41" t="s">
        <v>34</v>
      </c>
      <c r="Y41">
        <v>4</v>
      </c>
      <c r="Z41">
        <v>-8</v>
      </c>
      <c r="AI41" t="s">
        <v>34</v>
      </c>
      <c r="AJ41">
        <v>8</v>
      </c>
      <c r="AK41">
        <v>-8</v>
      </c>
    </row>
    <row r="42" spans="2:37" x14ac:dyDescent="0.2">
      <c r="M42">
        <v>0</v>
      </c>
      <c r="Z42">
        <v>-56</v>
      </c>
      <c r="AK42">
        <v>-56</v>
      </c>
    </row>
    <row r="43" spans="2:37" x14ac:dyDescent="0.2">
      <c r="M43">
        <v>96</v>
      </c>
      <c r="Z43">
        <v>28</v>
      </c>
      <c r="AK43">
        <v>56</v>
      </c>
    </row>
  </sheetData>
  <mergeCells count="3">
    <mergeCell ref="AC1:AM1"/>
    <mergeCell ref="C1:M1"/>
    <mergeCell ref="P1:Z1"/>
  </mergeCells>
  <conditionalFormatting sqref="C3:O24 N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Z24 P26:P3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Z2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24 AA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M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:AN24 AN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:AZ2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:BL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:BL24 BC3:BL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:BL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3:BX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4:BX24 BO3:BX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D69"/>
  <sheetViews>
    <sheetView zoomScale="70" zoomScaleNormal="70" workbookViewId="0">
      <selection activeCell="H13" sqref="H13"/>
    </sheetView>
  </sheetViews>
  <sheetFormatPr baseColWidth="10" defaultColWidth="8.83203125" defaultRowHeight="15" x14ac:dyDescent="0.2"/>
  <cols>
    <col min="1" max="1" width="10.6640625" customWidth="1"/>
    <col min="2" max="2" width="23.1640625" customWidth="1"/>
    <col min="3" max="3" width="16.5" customWidth="1"/>
    <col min="4" max="4" width="17.33203125" customWidth="1"/>
  </cols>
  <sheetData>
    <row r="3" spans="1:56" x14ac:dyDescent="0.2">
      <c r="H3" t="s">
        <v>63</v>
      </c>
      <c r="T3" t="s">
        <v>64</v>
      </c>
      <c r="AG3" t="s">
        <v>65</v>
      </c>
      <c r="AT3" t="s">
        <v>66</v>
      </c>
    </row>
    <row r="4" spans="1:56" x14ac:dyDescent="0.2">
      <c r="A4" t="s">
        <v>67</v>
      </c>
      <c r="B4" t="s">
        <v>68</v>
      </c>
      <c r="C4" t="s">
        <v>69</v>
      </c>
      <c r="D4" t="s">
        <v>70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t="s">
        <v>18</v>
      </c>
      <c r="AB4" t="s">
        <v>19</v>
      </c>
      <c r="AC4" t="s">
        <v>20</v>
      </c>
      <c r="AD4" t="s">
        <v>21</v>
      </c>
      <c r="AG4" t="s">
        <v>11</v>
      </c>
      <c r="AH4" t="s">
        <v>12</v>
      </c>
      <c r="AI4" t="s">
        <v>13</v>
      </c>
      <c r="AJ4" t="s">
        <v>14</v>
      </c>
      <c r="AK4" t="s">
        <v>15</v>
      </c>
      <c r="AL4" t="s">
        <v>16</v>
      </c>
      <c r="AM4" t="s">
        <v>17</v>
      </c>
      <c r="AN4" t="s">
        <v>18</v>
      </c>
      <c r="AO4" t="s">
        <v>19</v>
      </c>
      <c r="AP4" t="s">
        <v>20</v>
      </c>
      <c r="AQ4" t="s">
        <v>21</v>
      </c>
      <c r="AT4" t="s">
        <v>11</v>
      </c>
      <c r="AU4" t="s">
        <v>12</v>
      </c>
      <c r="AV4" t="s">
        <v>13</v>
      </c>
      <c r="AW4" t="s">
        <v>14</v>
      </c>
      <c r="AX4" t="s">
        <v>15</v>
      </c>
      <c r="AY4" t="s">
        <v>16</v>
      </c>
      <c r="AZ4" t="s">
        <v>17</v>
      </c>
      <c r="BA4" t="s">
        <v>18</v>
      </c>
      <c r="BB4" t="s">
        <v>19</v>
      </c>
      <c r="BC4" t="s">
        <v>20</v>
      </c>
      <c r="BD4" t="s">
        <v>21</v>
      </c>
    </row>
    <row r="5" spans="1:56" x14ac:dyDescent="0.2">
      <c r="A5">
        <v>1</v>
      </c>
      <c r="B5">
        <v>0.56820700000000002</v>
      </c>
      <c r="C5">
        <v>0</v>
      </c>
      <c r="D5">
        <v>48.855400000000003</v>
      </c>
      <c r="E5">
        <v>0.27759980267800011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2">
      <c r="A6">
        <v>2</v>
      </c>
      <c r="B6">
        <v>0.14172999999999999</v>
      </c>
      <c r="C6">
        <v>3</v>
      </c>
      <c r="D6">
        <v>56.445300000000003</v>
      </c>
      <c r="E6">
        <v>7.9999923689999988E-2</v>
      </c>
      <c r="G6">
        <v>2</v>
      </c>
      <c r="H6">
        <v>3</v>
      </c>
      <c r="I6">
        <v>3</v>
      </c>
      <c r="J6">
        <v>-3</v>
      </c>
      <c r="K6">
        <v>6</v>
      </c>
      <c r="L6">
        <v>9</v>
      </c>
      <c r="M6">
        <v>9</v>
      </c>
      <c r="N6">
        <v>18</v>
      </c>
      <c r="O6">
        <v>3</v>
      </c>
      <c r="P6">
        <v>6</v>
      </c>
      <c r="Q6">
        <v>3</v>
      </c>
      <c r="R6">
        <v>3</v>
      </c>
      <c r="T6">
        <v>12.56965146736856</v>
      </c>
      <c r="U6">
        <v>6.8278605869474216</v>
      </c>
      <c r="V6">
        <v>12.56965146736856</v>
      </c>
      <c r="W6">
        <v>12.56965146736856</v>
      </c>
      <c r="X6">
        <v>12.56965146736856</v>
      </c>
      <c r="Y6">
        <v>12.569651456051821</v>
      </c>
      <c r="Z6">
        <v>15</v>
      </c>
      <c r="AA6">
        <v>12.569651456051821</v>
      </c>
      <c r="AB6">
        <v>12.569651456051821</v>
      </c>
      <c r="AC6">
        <v>3</v>
      </c>
      <c r="AD6">
        <v>3</v>
      </c>
      <c r="AF6">
        <v>2</v>
      </c>
      <c r="AG6">
        <v>15.56965146736856</v>
      </c>
      <c r="AH6">
        <v>9.8278605869474234</v>
      </c>
      <c r="AI6">
        <v>9.5696514673685584</v>
      </c>
      <c r="AJ6">
        <v>18.569651467368558</v>
      </c>
      <c r="AK6">
        <v>21.569651467368558</v>
      </c>
      <c r="AL6">
        <v>21.569651456051819</v>
      </c>
      <c r="AM6">
        <v>33</v>
      </c>
      <c r="AN6">
        <v>15.569651456051821</v>
      </c>
      <c r="AO6">
        <v>18.569651456051819</v>
      </c>
      <c r="AP6">
        <v>6</v>
      </c>
      <c r="AQ6">
        <v>6</v>
      </c>
      <c r="AR6">
        <v>42.827860586947423</v>
      </c>
      <c r="AT6">
        <v>3.0568155025479612E-3</v>
      </c>
      <c r="AU6">
        <v>1.929520173397845E-3</v>
      </c>
      <c r="AV6">
        <v>1.8788255485835269E-3</v>
      </c>
      <c r="AW6">
        <v>3.645810479530177E-3</v>
      </c>
      <c r="AX6">
        <v>4.2348054565123942E-3</v>
      </c>
      <c r="AY6">
        <v>4.2348054542905612E-3</v>
      </c>
      <c r="AZ6">
        <v>6.4789447468043852E-3</v>
      </c>
      <c r="BA6">
        <v>3.0568155003261269E-3</v>
      </c>
      <c r="BB6">
        <v>3.6458104773083441E-3</v>
      </c>
      <c r="BC6">
        <v>1.1779899539644341E-3</v>
      </c>
      <c r="BD6">
        <v>1.1779899539644341E-3</v>
      </c>
    </row>
    <row r="7" spans="1:56" x14ac:dyDescent="0.2">
      <c r="A7">
        <v>3</v>
      </c>
      <c r="B7">
        <v>1.5429569999999999</v>
      </c>
      <c r="C7">
        <v>9</v>
      </c>
      <c r="D7">
        <v>80.494799999999998</v>
      </c>
      <c r="E7">
        <v>1.2420001512359999</v>
      </c>
      <c r="G7">
        <v>3</v>
      </c>
      <c r="H7">
        <v>9</v>
      </c>
      <c r="I7">
        <v>9</v>
      </c>
      <c r="J7">
        <v>-9</v>
      </c>
      <c r="K7">
        <v>18</v>
      </c>
      <c r="L7">
        <v>27</v>
      </c>
      <c r="M7">
        <v>27</v>
      </c>
      <c r="N7">
        <v>54</v>
      </c>
      <c r="O7">
        <v>9</v>
      </c>
      <c r="P7">
        <v>18</v>
      </c>
      <c r="Q7">
        <v>9</v>
      </c>
      <c r="R7">
        <v>9</v>
      </c>
      <c r="T7">
        <v>26.77871492520589</v>
      </c>
      <c r="U7">
        <v>16.111485970082349</v>
      </c>
      <c r="V7">
        <v>26.77871492520589</v>
      </c>
      <c r="W7">
        <v>26.77871492520589</v>
      </c>
      <c r="X7">
        <v>26.77871492520589</v>
      </c>
      <c r="Y7">
        <v>26.78863976067754</v>
      </c>
      <c r="Z7">
        <v>29.930319356742231</v>
      </c>
      <c r="AA7">
        <v>26.78863976067754</v>
      </c>
      <c r="AB7">
        <v>26.78863976067754</v>
      </c>
      <c r="AC7">
        <v>9</v>
      </c>
      <c r="AD7">
        <v>9</v>
      </c>
      <c r="AF7">
        <v>3</v>
      </c>
      <c r="AG7">
        <v>35.77871492520589</v>
      </c>
      <c r="AH7">
        <v>25.111485970082349</v>
      </c>
      <c r="AI7">
        <v>17.77871492520589</v>
      </c>
      <c r="AJ7">
        <v>44.77871492520589</v>
      </c>
      <c r="AK7">
        <v>53.77871492520589</v>
      </c>
      <c r="AL7">
        <v>53.78863976067754</v>
      </c>
      <c r="AM7">
        <v>83.930319356742231</v>
      </c>
      <c r="AN7">
        <v>35.78863976067754</v>
      </c>
      <c r="AO7">
        <v>44.78863976067754</v>
      </c>
      <c r="AP7">
        <v>18</v>
      </c>
      <c r="AQ7">
        <v>18</v>
      </c>
      <c r="AR7">
        <v>109.0418053268246</v>
      </c>
      <c r="AT7">
        <v>7.0244944579416456E-3</v>
      </c>
      <c r="AU7">
        <v>4.9301797003126384E-3</v>
      </c>
      <c r="AV7">
        <v>3.4905245960483462E-3</v>
      </c>
      <c r="AW7">
        <v>8.7914793888882979E-3</v>
      </c>
      <c r="AX7">
        <v>1.055846431983495E-2</v>
      </c>
      <c r="AY7">
        <v>1.0560412879248341E-2</v>
      </c>
      <c r="AZ7">
        <v>1.6478178839211498E-2</v>
      </c>
      <c r="BA7">
        <v>7.0264430173550404E-3</v>
      </c>
      <c r="BB7">
        <v>8.7934279483016901E-3</v>
      </c>
      <c r="BC7">
        <v>3.5339698618933012E-3</v>
      </c>
      <c r="BD7">
        <v>3.5339698618933012E-3</v>
      </c>
    </row>
    <row r="8" spans="1:56" x14ac:dyDescent="0.2">
      <c r="A8">
        <v>4</v>
      </c>
      <c r="B8">
        <v>0.90243700000000004</v>
      </c>
      <c r="C8">
        <v>8</v>
      </c>
      <c r="D8">
        <v>70.4315</v>
      </c>
      <c r="E8">
        <v>0.63559991565500007</v>
      </c>
      <c r="G8">
        <v>4</v>
      </c>
      <c r="H8">
        <v>8</v>
      </c>
      <c r="I8">
        <v>8</v>
      </c>
      <c r="J8">
        <v>-8</v>
      </c>
      <c r="K8">
        <v>16</v>
      </c>
      <c r="L8">
        <v>24</v>
      </c>
      <c r="M8">
        <v>24</v>
      </c>
      <c r="N8">
        <v>48</v>
      </c>
      <c r="O8">
        <v>8</v>
      </c>
      <c r="P8">
        <v>16</v>
      </c>
      <c r="Q8">
        <v>8</v>
      </c>
      <c r="R8">
        <v>8</v>
      </c>
      <c r="T8">
        <v>18.58065449888835</v>
      </c>
      <c r="U8">
        <v>12.23226179955534</v>
      </c>
      <c r="V8">
        <v>18.58065449888835</v>
      </c>
      <c r="W8">
        <v>18.58065449888835</v>
      </c>
      <c r="X8">
        <v>18.58065449888835</v>
      </c>
      <c r="Y8">
        <v>18.580653990323441</v>
      </c>
      <c r="Z8">
        <v>21.080619745704269</v>
      </c>
      <c r="AA8">
        <v>18.580653990323441</v>
      </c>
      <c r="AB8">
        <v>18.580653990323441</v>
      </c>
      <c r="AC8">
        <v>8</v>
      </c>
      <c r="AD8">
        <v>8</v>
      </c>
      <c r="AF8">
        <v>4</v>
      </c>
      <c r="AG8">
        <v>26.58065449888835</v>
      </c>
      <c r="AH8">
        <v>20.232261799555339</v>
      </c>
      <c r="AI8">
        <v>10.58065449888835</v>
      </c>
      <c r="AJ8">
        <v>34.58065449888835</v>
      </c>
      <c r="AK8">
        <v>42.58065449888835</v>
      </c>
      <c r="AL8">
        <v>42.580653990323441</v>
      </c>
      <c r="AM8">
        <v>69.080619745704269</v>
      </c>
      <c r="AN8">
        <v>26.580653990323441</v>
      </c>
      <c r="AO8">
        <v>34.580653990323441</v>
      </c>
      <c r="AP8">
        <v>16</v>
      </c>
      <c r="AQ8">
        <v>16</v>
      </c>
      <c r="AR8">
        <v>89.312881545259614</v>
      </c>
      <c r="AT8">
        <v>5.2186239949150006E-3</v>
      </c>
      <c r="AU8">
        <v>3.9722335243090939E-3</v>
      </c>
      <c r="AV8">
        <v>2.077317451009844E-3</v>
      </c>
      <c r="AW8">
        <v>6.7892772668675791E-3</v>
      </c>
      <c r="AX8">
        <v>8.3599305388201567E-3</v>
      </c>
      <c r="AY8">
        <v>8.3599304389727642E-3</v>
      </c>
      <c r="AZ8">
        <v>1.356271267901279E-2</v>
      </c>
      <c r="BA8">
        <v>5.2186238950676089E-3</v>
      </c>
      <c r="BB8">
        <v>6.7892771670201874E-3</v>
      </c>
      <c r="BC8">
        <v>3.141306543905157E-3</v>
      </c>
      <c r="BD8">
        <v>3.141306543905157E-3</v>
      </c>
    </row>
    <row r="9" spans="1:56" x14ac:dyDescent="0.2">
      <c r="A9">
        <v>5</v>
      </c>
      <c r="B9">
        <v>1.647397</v>
      </c>
      <c r="C9">
        <v>58</v>
      </c>
      <c r="D9">
        <v>217.26400000000001</v>
      </c>
      <c r="E9">
        <v>3.5792006180799998</v>
      </c>
      <c r="G9">
        <v>5</v>
      </c>
      <c r="H9">
        <v>58</v>
      </c>
      <c r="I9">
        <v>58</v>
      </c>
      <c r="J9">
        <v>-58</v>
      </c>
      <c r="K9">
        <v>116</v>
      </c>
      <c r="L9">
        <v>174</v>
      </c>
      <c r="M9">
        <v>174</v>
      </c>
      <c r="N9">
        <v>348</v>
      </c>
      <c r="O9">
        <v>58</v>
      </c>
      <c r="P9">
        <v>116</v>
      </c>
      <c r="Q9">
        <v>58</v>
      </c>
      <c r="R9">
        <v>58</v>
      </c>
      <c r="T9">
        <v>151.4212152930028</v>
      </c>
      <c r="U9">
        <v>95.368486117201101</v>
      </c>
      <c r="V9">
        <v>151.4212152930028</v>
      </c>
      <c r="W9">
        <v>151.4212152930028</v>
      </c>
      <c r="X9">
        <v>151.4212152930028</v>
      </c>
      <c r="Y9">
        <v>151.689327205886</v>
      </c>
      <c r="Z9">
        <v>188.52327675215059</v>
      </c>
      <c r="AA9">
        <v>151.689327205886</v>
      </c>
      <c r="AB9">
        <v>151.689327205886</v>
      </c>
      <c r="AC9">
        <v>58</v>
      </c>
      <c r="AD9">
        <v>58</v>
      </c>
      <c r="AF9">
        <v>5</v>
      </c>
      <c r="AG9">
        <v>209.4212152930028</v>
      </c>
      <c r="AH9">
        <v>153.36848611720109</v>
      </c>
      <c r="AI9">
        <v>93.421215293002774</v>
      </c>
      <c r="AJ9">
        <v>267.42121529300277</v>
      </c>
      <c r="AK9">
        <v>325.42121529300277</v>
      </c>
      <c r="AL9">
        <v>325.689327205886</v>
      </c>
      <c r="AM9">
        <v>536.52327675215054</v>
      </c>
      <c r="AN9">
        <v>209.689327205886</v>
      </c>
      <c r="AO9">
        <v>267.689327205886</v>
      </c>
      <c r="AP9">
        <v>116</v>
      </c>
      <c r="AQ9">
        <v>116</v>
      </c>
      <c r="AR9">
        <v>689.89176286935162</v>
      </c>
      <c r="AT9">
        <v>4.1116014627030018E-2</v>
      </c>
      <c r="AU9">
        <v>3.0111089316799431E-2</v>
      </c>
      <c r="AV9">
        <v>1.834154218371763E-2</v>
      </c>
      <c r="AW9">
        <v>5.2503250848686213E-2</v>
      </c>
      <c r="AX9">
        <v>6.3890487070342394E-2</v>
      </c>
      <c r="AY9">
        <v>6.3943125926994832E-2</v>
      </c>
      <c r="AZ9">
        <v>0.10533650501368549</v>
      </c>
      <c r="BA9">
        <v>4.1168653483682448E-2</v>
      </c>
      <c r="BB9">
        <v>5.2555889705338643E-2</v>
      </c>
      <c r="BC9">
        <v>2.277447244331238E-2</v>
      </c>
      <c r="BD9">
        <v>2.277447244331238E-2</v>
      </c>
    </row>
    <row r="10" spans="1:56" x14ac:dyDescent="0.2">
      <c r="A10">
        <v>6</v>
      </c>
      <c r="B10">
        <v>0.39727699999999999</v>
      </c>
      <c r="C10">
        <v>6</v>
      </c>
      <c r="D10">
        <v>307.29199999999997</v>
      </c>
      <c r="E10">
        <v>1.22080043884</v>
      </c>
      <c r="G10">
        <v>6</v>
      </c>
      <c r="H10">
        <v>6</v>
      </c>
      <c r="I10">
        <v>6</v>
      </c>
      <c r="J10">
        <v>-6</v>
      </c>
      <c r="K10">
        <v>12</v>
      </c>
      <c r="L10">
        <v>18</v>
      </c>
      <c r="M10">
        <v>18</v>
      </c>
      <c r="N10">
        <v>36</v>
      </c>
      <c r="O10">
        <v>6</v>
      </c>
      <c r="P10">
        <v>12</v>
      </c>
      <c r="Q10">
        <v>6</v>
      </c>
      <c r="R10">
        <v>6</v>
      </c>
      <c r="T10">
        <v>20.920569528412681</v>
      </c>
      <c r="U10">
        <v>11.968227811365081</v>
      </c>
      <c r="V10">
        <v>20.920569528412681</v>
      </c>
      <c r="W10">
        <v>20.920569528412681</v>
      </c>
      <c r="X10">
        <v>20.920569528412681</v>
      </c>
      <c r="Y10">
        <v>20.921859233722529</v>
      </c>
      <c r="Z10">
        <v>26.49378669004631</v>
      </c>
      <c r="AA10">
        <v>20.921859233722529</v>
      </c>
      <c r="AB10">
        <v>20.921859233722529</v>
      </c>
      <c r="AC10">
        <v>6</v>
      </c>
      <c r="AD10">
        <v>6</v>
      </c>
      <c r="AF10">
        <v>6</v>
      </c>
      <c r="AG10">
        <v>26.920569528412681</v>
      </c>
      <c r="AH10">
        <v>17.968227811365079</v>
      </c>
      <c r="AI10">
        <v>14.920569528412679</v>
      </c>
      <c r="AJ10">
        <v>32.920569528412678</v>
      </c>
      <c r="AK10">
        <v>38.920569528412678</v>
      </c>
      <c r="AL10">
        <v>38.921859233722529</v>
      </c>
      <c r="AM10">
        <v>62.493786690046313</v>
      </c>
      <c r="AN10">
        <v>26.921859233722529</v>
      </c>
      <c r="AO10">
        <v>32.921859233722529</v>
      </c>
      <c r="AP10">
        <v>12</v>
      </c>
      <c r="AQ10">
        <v>12</v>
      </c>
      <c r="AR10">
        <v>80.462014501411375</v>
      </c>
      <c r="AT10">
        <v>5.2853600765785319E-3</v>
      </c>
      <c r="AU10">
        <v>3.527731975388733E-3</v>
      </c>
      <c r="AV10">
        <v>2.9293801686496651E-3</v>
      </c>
      <c r="AW10">
        <v>6.4633500305429662E-3</v>
      </c>
      <c r="AX10">
        <v>7.6413399845073997E-3</v>
      </c>
      <c r="AY10">
        <v>7.6415931944904944E-3</v>
      </c>
      <c r="AZ10">
        <v>1.226950881767846E-2</v>
      </c>
      <c r="BA10">
        <v>5.2856132865616266E-3</v>
      </c>
      <c r="BB10">
        <v>6.4636032405260609E-3</v>
      </c>
      <c r="BC10">
        <v>2.3559799079288669E-3</v>
      </c>
      <c r="BD10">
        <v>2.3559799079288669E-3</v>
      </c>
    </row>
    <row r="11" spans="1:56" x14ac:dyDescent="0.2">
      <c r="A11">
        <v>7</v>
      </c>
      <c r="B11">
        <v>0.37684200000000001</v>
      </c>
      <c r="C11">
        <v>28</v>
      </c>
      <c r="D11">
        <v>222.05600000000001</v>
      </c>
      <c r="E11">
        <v>0.83680027152000014</v>
      </c>
      <c r="G11">
        <v>7</v>
      </c>
      <c r="H11">
        <v>28</v>
      </c>
      <c r="I11">
        <v>28</v>
      </c>
      <c r="J11">
        <v>-28</v>
      </c>
      <c r="K11">
        <v>56</v>
      </c>
      <c r="L11">
        <v>84</v>
      </c>
      <c r="M11">
        <v>84</v>
      </c>
      <c r="N11">
        <v>168</v>
      </c>
      <c r="O11">
        <v>28</v>
      </c>
      <c r="P11">
        <v>56</v>
      </c>
      <c r="Q11">
        <v>28</v>
      </c>
      <c r="R11">
        <v>28</v>
      </c>
      <c r="T11">
        <v>102.7479630436285</v>
      </c>
      <c r="U11">
        <v>57.899185217451382</v>
      </c>
      <c r="V11">
        <v>102.7479630436285</v>
      </c>
      <c r="W11">
        <v>102.7479630436285</v>
      </c>
      <c r="X11">
        <v>102.7479630436285</v>
      </c>
      <c r="Y11">
        <v>102.74795950073479</v>
      </c>
      <c r="Z11">
        <v>131.48838325256759</v>
      </c>
      <c r="AA11">
        <v>102.74795950073479</v>
      </c>
      <c r="AB11">
        <v>102.74795950073479</v>
      </c>
      <c r="AC11">
        <v>28</v>
      </c>
      <c r="AD11">
        <v>28</v>
      </c>
      <c r="AF11">
        <v>7</v>
      </c>
      <c r="AG11">
        <v>130.74796304362849</v>
      </c>
      <c r="AH11">
        <v>85.899185217451375</v>
      </c>
      <c r="AI11">
        <v>74.747963043628488</v>
      </c>
      <c r="AJ11">
        <v>158.74796304362849</v>
      </c>
      <c r="AK11">
        <v>186.74796304362849</v>
      </c>
      <c r="AL11">
        <v>186.74795950073479</v>
      </c>
      <c r="AM11">
        <v>299.48838325256759</v>
      </c>
      <c r="AN11">
        <v>130.74795950073479</v>
      </c>
      <c r="AO11">
        <v>158.74795950073479</v>
      </c>
      <c r="AP11">
        <v>56</v>
      </c>
      <c r="AQ11">
        <v>56</v>
      </c>
      <c r="AR11">
        <v>385.387568470019</v>
      </c>
      <c r="AT11">
        <v>2.566996449445123E-2</v>
      </c>
      <c r="AU11">
        <v>1.6864729539981319E-2</v>
      </c>
      <c r="AV11">
        <v>1.4675391590783189E-2</v>
      </c>
      <c r="AW11">
        <v>3.1167250946285259E-2</v>
      </c>
      <c r="AX11">
        <v>3.6664537398119278E-2</v>
      </c>
      <c r="AY11">
        <v>3.6664536702537082E-2</v>
      </c>
      <c r="AZ11">
        <v>5.8799051133429127E-2</v>
      </c>
      <c r="BA11">
        <v>2.5669963798869041E-2</v>
      </c>
      <c r="BB11">
        <v>3.116725025070306E-2</v>
      </c>
      <c r="BC11">
        <v>1.0994572903668049E-2</v>
      </c>
      <c r="BD11">
        <v>1.0994572903668049E-2</v>
      </c>
    </row>
    <row r="12" spans="1:56" x14ac:dyDescent="0.2">
      <c r="A12">
        <v>8</v>
      </c>
      <c r="B12">
        <v>0.15165799999999999</v>
      </c>
      <c r="C12">
        <v>216</v>
      </c>
      <c r="D12">
        <v>149.28299999999999</v>
      </c>
      <c r="E12">
        <v>0.22639961214000001</v>
      </c>
      <c r="G12">
        <v>8</v>
      </c>
      <c r="H12">
        <v>216</v>
      </c>
      <c r="I12">
        <v>216</v>
      </c>
      <c r="J12">
        <v>-216</v>
      </c>
      <c r="K12">
        <v>432</v>
      </c>
      <c r="L12">
        <v>648</v>
      </c>
      <c r="M12">
        <v>648</v>
      </c>
      <c r="N12">
        <v>1296</v>
      </c>
      <c r="O12">
        <v>216</v>
      </c>
      <c r="P12">
        <v>432</v>
      </c>
      <c r="Q12">
        <v>216</v>
      </c>
      <c r="R12">
        <v>216</v>
      </c>
      <c r="T12">
        <v>668.47603621211158</v>
      </c>
      <c r="U12">
        <v>396.99041448484462</v>
      </c>
      <c r="V12">
        <v>668.47603621211158</v>
      </c>
      <c r="W12">
        <v>668.47603621211158</v>
      </c>
      <c r="X12">
        <v>668.47603621211158</v>
      </c>
      <c r="Y12">
        <v>669.92379302967208</v>
      </c>
      <c r="Z12">
        <v>853.49510480948891</v>
      </c>
      <c r="AA12">
        <v>669.92379302967208</v>
      </c>
      <c r="AB12">
        <v>669.92379302967208</v>
      </c>
      <c r="AC12">
        <v>216</v>
      </c>
      <c r="AD12">
        <v>216</v>
      </c>
      <c r="AF12">
        <v>8</v>
      </c>
      <c r="AG12">
        <v>884.47603621211158</v>
      </c>
      <c r="AH12">
        <v>612.99041448484456</v>
      </c>
      <c r="AI12">
        <v>452.47603621211158</v>
      </c>
      <c r="AJ12">
        <v>1100.476036212111</v>
      </c>
      <c r="AK12">
        <v>1316.476036212111</v>
      </c>
      <c r="AL12">
        <v>1317.923793029672</v>
      </c>
      <c r="AM12">
        <v>2149.495104809489</v>
      </c>
      <c r="AN12">
        <v>885.92379302967208</v>
      </c>
      <c r="AO12">
        <v>1101.923793029672</v>
      </c>
      <c r="AP12">
        <v>432</v>
      </c>
      <c r="AQ12">
        <v>432</v>
      </c>
      <c r="AR12">
        <v>2762.4855192943342</v>
      </c>
      <c r="AT12">
        <v>0.17365064753002499</v>
      </c>
      <c r="AU12">
        <v>0.1203494250232735</v>
      </c>
      <c r="AV12">
        <v>8.8835370844585787E-2</v>
      </c>
      <c r="AW12">
        <v>0.21605828587274459</v>
      </c>
      <c r="AX12">
        <v>0.25846592421546422</v>
      </c>
      <c r="AY12">
        <v>0.25875016471327589</v>
      </c>
      <c r="AZ12">
        <v>0.42201393992688419</v>
      </c>
      <c r="BA12">
        <v>0.1739348880278366</v>
      </c>
      <c r="BB12">
        <v>0.21634252637055629</v>
      </c>
      <c r="BC12">
        <v>8.4815276685439228E-2</v>
      </c>
      <c r="BD12">
        <v>8.4815276685439228E-2</v>
      </c>
    </row>
    <row r="13" spans="1:56" x14ac:dyDescent="0.2">
      <c r="A13">
        <v>9</v>
      </c>
      <c r="B13">
        <v>1.849683</v>
      </c>
      <c r="C13">
        <v>580</v>
      </c>
      <c r="D13">
        <v>171.59700000000001</v>
      </c>
      <c r="E13">
        <v>3.17400053751</v>
      </c>
      <c r="G13">
        <v>9</v>
      </c>
      <c r="H13">
        <v>580</v>
      </c>
      <c r="I13">
        <v>580</v>
      </c>
      <c r="J13">
        <v>-580</v>
      </c>
      <c r="K13">
        <v>1160</v>
      </c>
      <c r="L13">
        <v>1740</v>
      </c>
      <c r="M13">
        <v>1740</v>
      </c>
      <c r="N13">
        <v>3480</v>
      </c>
      <c r="O13">
        <v>580</v>
      </c>
      <c r="P13">
        <v>1160</v>
      </c>
      <c r="Q13">
        <v>580</v>
      </c>
      <c r="R13">
        <v>580</v>
      </c>
      <c r="T13">
        <v>1348.55663759404</v>
      </c>
      <c r="U13">
        <v>887.42265503761575</v>
      </c>
      <c r="V13">
        <v>1348.55663759404</v>
      </c>
      <c r="W13">
        <v>1348.55663759404</v>
      </c>
      <c r="X13">
        <v>1348.55663759404</v>
      </c>
      <c r="Y13">
        <v>1357.223688374002</v>
      </c>
      <c r="Z13">
        <v>1613.422044736006</v>
      </c>
      <c r="AA13">
        <v>1357.223688374002</v>
      </c>
      <c r="AB13">
        <v>1357.223688374002</v>
      </c>
      <c r="AC13">
        <v>580</v>
      </c>
      <c r="AD13">
        <v>580</v>
      </c>
      <c r="AF13">
        <v>9</v>
      </c>
      <c r="AG13">
        <v>1928.55663759404</v>
      </c>
      <c r="AH13">
        <v>1467.4226550376161</v>
      </c>
      <c r="AI13">
        <v>768.55663759403956</v>
      </c>
      <c r="AJ13">
        <v>2508.5566375940398</v>
      </c>
      <c r="AK13">
        <v>3088.5566375940398</v>
      </c>
      <c r="AL13">
        <v>3097.223688374002</v>
      </c>
      <c r="AM13">
        <v>5093.4220447360067</v>
      </c>
      <c r="AN13">
        <v>1937.223688374002</v>
      </c>
      <c r="AO13">
        <v>2517.223688374002</v>
      </c>
      <c r="AP13">
        <v>1160</v>
      </c>
      <c r="AQ13">
        <v>1160</v>
      </c>
      <c r="AR13">
        <v>6560.8446997736228</v>
      </c>
      <c r="AT13">
        <v>0.37863672412286759</v>
      </c>
      <c r="AU13">
        <v>0.28810152430902131</v>
      </c>
      <c r="AV13">
        <v>0.15089199968974379</v>
      </c>
      <c r="AW13">
        <v>0.49250908633942958</v>
      </c>
      <c r="AX13">
        <v>0.60638144855599152</v>
      </c>
      <c r="AY13">
        <v>0.60808306501420739</v>
      </c>
      <c r="AZ13">
        <v>1</v>
      </c>
      <c r="BA13">
        <v>0.38033834058108362</v>
      </c>
      <c r="BB13">
        <v>0.49421070279764551</v>
      </c>
      <c r="BC13">
        <v>0.22774472443312391</v>
      </c>
      <c r="BD13">
        <v>0.22774472443312391</v>
      </c>
    </row>
    <row r="14" spans="1:56" x14ac:dyDescent="0.2">
      <c r="A14">
        <v>10</v>
      </c>
      <c r="B14">
        <v>0.35938199999999998</v>
      </c>
      <c r="C14">
        <v>2</v>
      </c>
      <c r="D14">
        <v>151.37100000000001</v>
      </c>
      <c r="E14">
        <v>0.54400012722000002</v>
      </c>
      <c r="G14">
        <v>10</v>
      </c>
      <c r="H14">
        <v>2</v>
      </c>
      <c r="I14">
        <v>2</v>
      </c>
      <c r="J14">
        <v>-2</v>
      </c>
      <c r="K14">
        <v>4</v>
      </c>
      <c r="L14">
        <v>6</v>
      </c>
      <c r="M14">
        <v>6</v>
      </c>
      <c r="N14">
        <v>12</v>
      </c>
      <c r="O14">
        <v>2</v>
      </c>
      <c r="P14">
        <v>4</v>
      </c>
      <c r="Q14">
        <v>2</v>
      </c>
      <c r="R14">
        <v>2</v>
      </c>
      <c r="T14">
        <v>4.1105548362141882</v>
      </c>
      <c r="U14">
        <v>2.8442219344856752</v>
      </c>
      <c r="V14">
        <v>4.1105548362141882</v>
      </c>
      <c r="W14">
        <v>4.1105548362141882</v>
      </c>
      <c r="X14">
        <v>4.1105548362141882</v>
      </c>
      <c r="Y14">
        <v>4.1284416953403866</v>
      </c>
      <c r="Z14">
        <v>4.7515397375122301</v>
      </c>
      <c r="AA14">
        <v>4.1284416953403866</v>
      </c>
      <c r="AB14">
        <v>4.1284416953403866</v>
      </c>
      <c r="AC14">
        <v>2</v>
      </c>
      <c r="AD14">
        <v>2</v>
      </c>
      <c r="AF14">
        <v>10</v>
      </c>
      <c r="AG14">
        <v>6.1105548362141882</v>
      </c>
      <c r="AH14">
        <v>4.8442219344856747</v>
      </c>
      <c r="AI14">
        <v>2.1105548362141882</v>
      </c>
      <c r="AJ14">
        <v>8.1105548362141882</v>
      </c>
      <c r="AK14">
        <v>10.11055483621419</v>
      </c>
      <c r="AL14">
        <v>10.12844169534039</v>
      </c>
      <c r="AM14">
        <v>16.751539737512228</v>
      </c>
      <c r="AN14">
        <v>6.1284416953403866</v>
      </c>
      <c r="AO14">
        <v>8.1284416953403866</v>
      </c>
      <c r="AP14">
        <v>4</v>
      </c>
      <c r="AQ14">
        <v>4</v>
      </c>
      <c r="AR14">
        <v>21.595761671997909</v>
      </c>
      <c r="AT14">
        <v>1.1996953683681829E-3</v>
      </c>
      <c r="AU14">
        <v>9.5107412893304663E-4</v>
      </c>
      <c r="AV14">
        <v>4.1436873239189412E-4</v>
      </c>
      <c r="AW14">
        <v>1.592358686356328E-3</v>
      </c>
      <c r="AX14">
        <v>1.9850220043444722E-3</v>
      </c>
      <c r="AY14">
        <v>1.9885337610709118E-3</v>
      </c>
      <c r="AZ14">
        <v>3.288857587370902E-3</v>
      </c>
      <c r="BA14">
        <v>1.203207125094623E-3</v>
      </c>
      <c r="BB14">
        <v>1.595870443082767E-3</v>
      </c>
      <c r="BC14">
        <v>7.8532663597628914E-4</v>
      </c>
      <c r="BD14">
        <v>7.8532663597628914E-4</v>
      </c>
    </row>
    <row r="15" spans="1:56" x14ac:dyDescent="0.2">
      <c r="A15">
        <v>11</v>
      </c>
      <c r="B15">
        <v>2.3327000000000001E-2</v>
      </c>
      <c r="C15">
        <v>4</v>
      </c>
      <c r="D15">
        <v>168.04300000000001</v>
      </c>
      <c r="E15">
        <v>3.9199390610000003E-2</v>
      </c>
      <c r="G15">
        <v>11</v>
      </c>
      <c r="H15">
        <v>4</v>
      </c>
      <c r="I15">
        <v>4</v>
      </c>
      <c r="J15">
        <v>-4</v>
      </c>
      <c r="K15">
        <v>8</v>
      </c>
      <c r="L15">
        <v>12</v>
      </c>
      <c r="M15">
        <v>12</v>
      </c>
      <c r="N15">
        <v>24</v>
      </c>
      <c r="O15">
        <v>4</v>
      </c>
      <c r="P15">
        <v>8</v>
      </c>
      <c r="Q15">
        <v>4</v>
      </c>
      <c r="R15">
        <v>4</v>
      </c>
      <c r="T15">
        <v>6.4317819877279616</v>
      </c>
      <c r="U15">
        <v>4.9727127950911836</v>
      </c>
      <c r="V15">
        <v>6.4317819877279616</v>
      </c>
      <c r="W15">
        <v>6.4317819877279616</v>
      </c>
      <c r="X15">
        <v>6.4317819877279616</v>
      </c>
      <c r="Y15">
        <v>6.4333288323932543</v>
      </c>
      <c r="Z15">
        <v>6.4855534617393111</v>
      </c>
      <c r="AA15">
        <v>6.4333288323932543</v>
      </c>
      <c r="AB15">
        <v>6.4333288323932543</v>
      </c>
      <c r="AC15">
        <v>4</v>
      </c>
      <c r="AD15">
        <v>4</v>
      </c>
      <c r="AF15">
        <v>11</v>
      </c>
      <c r="AG15">
        <v>10.431781987727961</v>
      </c>
      <c r="AH15">
        <v>8.9727127950911836</v>
      </c>
      <c r="AI15">
        <v>2.4317819877279621</v>
      </c>
      <c r="AJ15">
        <v>14.431781987727961</v>
      </c>
      <c r="AK15">
        <v>18.431781987727959</v>
      </c>
      <c r="AL15">
        <v>18.433328832393251</v>
      </c>
      <c r="AM15">
        <v>30.485553461739311</v>
      </c>
      <c r="AN15">
        <v>10.433328832393251</v>
      </c>
      <c r="AO15">
        <v>14.433328832393251</v>
      </c>
      <c r="AP15">
        <v>8</v>
      </c>
      <c r="AQ15">
        <v>8</v>
      </c>
      <c r="AR15">
        <v>39.458266256830498</v>
      </c>
      <c r="AT15">
        <v>2.0480890639151118E-3</v>
      </c>
      <c r="AU15">
        <v>1.761627588737591E-3</v>
      </c>
      <c r="AV15">
        <v>4.7743579196253338E-4</v>
      </c>
      <c r="AW15">
        <v>2.8334156998914011E-3</v>
      </c>
      <c r="AX15">
        <v>3.6187423358676899E-3</v>
      </c>
      <c r="AY15">
        <v>3.6190460304470328E-3</v>
      </c>
      <c r="AZ15">
        <v>5.9852792864957616E-3</v>
      </c>
      <c r="BA15">
        <v>2.0483927584944552E-3</v>
      </c>
      <c r="BB15">
        <v>2.833719394470744E-3</v>
      </c>
      <c r="BC15">
        <v>1.5706532719525781E-3</v>
      </c>
      <c r="BD15">
        <v>1.5706532719525781E-3</v>
      </c>
    </row>
    <row r="16" spans="1:56" x14ac:dyDescent="0.2">
      <c r="A16">
        <v>12</v>
      </c>
      <c r="B16">
        <v>1.3769070000000001</v>
      </c>
      <c r="C16">
        <v>5</v>
      </c>
      <c r="D16">
        <v>216.92099999999999</v>
      </c>
      <c r="E16">
        <v>2.98680043347</v>
      </c>
      <c r="G16">
        <v>12</v>
      </c>
      <c r="H16">
        <v>5</v>
      </c>
      <c r="I16">
        <v>5</v>
      </c>
      <c r="J16">
        <v>-5</v>
      </c>
      <c r="K16">
        <v>10</v>
      </c>
      <c r="L16">
        <v>15</v>
      </c>
      <c r="M16">
        <v>15</v>
      </c>
      <c r="N16">
        <v>30</v>
      </c>
      <c r="O16">
        <v>5</v>
      </c>
      <c r="P16">
        <v>10</v>
      </c>
      <c r="Q16">
        <v>5</v>
      </c>
      <c r="R16">
        <v>5</v>
      </c>
      <c r="T16">
        <v>10.40996098940251</v>
      </c>
      <c r="U16">
        <v>7.1639843957610019</v>
      </c>
      <c r="V16">
        <v>10.40996098940251</v>
      </c>
      <c r="W16">
        <v>10.40996098940251</v>
      </c>
      <c r="X16">
        <v>10.40996098940251</v>
      </c>
      <c r="Y16">
        <v>10.410407598673981</v>
      </c>
      <c r="Z16">
        <v>11.297643058762411</v>
      </c>
      <c r="AA16">
        <v>10.410407598673981</v>
      </c>
      <c r="AB16">
        <v>10.410407598673981</v>
      </c>
      <c r="AC16">
        <v>5</v>
      </c>
      <c r="AD16">
        <v>5</v>
      </c>
      <c r="AF16">
        <v>12</v>
      </c>
      <c r="AG16">
        <v>15.40996098940251</v>
      </c>
      <c r="AH16">
        <v>12.163984395761</v>
      </c>
      <c r="AI16">
        <v>5.4099609894025056</v>
      </c>
      <c r="AJ16">
        <v>20.40996098940251</v>
      </c>
      <c r="AK16">
        <v>25.40996098940251</v>
      </c>
      <c r="AL16">
        <v>25.410407598673981</v>
      </c>
      <c r="AM16">
        <v>41.297643058762397</v>
      </c>
      <c r="AN16">
        <v>15.410407598673981</v>
      </c>
      <c r="AO16">
        <v>20.410407598673981</v>
      </c>
      <c r="AP16">
        <v>10</v>
      </c>
      <c r="AQ16">
        <v>10</v>
      </c>
      <c r="AR16">
        <v>53.461627454523409</v>
      </c>
      <c r="AT16">
        <v>3.02546320608333E-3</v>
      </c>
      <c r="AU16">
        <v>2.3881752363977648E-3</v>
      </c>
      <c r="AV16">
        <v>1.0621466161426069E-3</v>
      </c>
      <c r="AW16">
        <v>4.0071215010536896E-3</v>
      </c>
      <c r="AX16">
        <v>4.9887797960240518E-3</v>
      </c>
      <c r="AY16">
        <v>4.9888674795632434E-3</v>
      </c>
      <c r="AZ16">
        <v>8.1080347742718568E-3</v>
      </c>
      <c r="BA16">
        <v>3.0255508896225212E-3</v>
      </c>
      <c r="BB16">
        <v>4.0072091845928821E-3</v>
      </c>
      <c r="BC16">
        <v>1.9633165899407231E-3</v>
      </c>
      <c r="BD16">
        <v>1.9633165899407231E-3</v>
      </c>
    </row>
    <row r="17" spans="1:56" x14ac:dyDescent="0.2">
      <c r="A17">
        <v>13</v>
      </c>
      <c r="B17">
        <v>5.3414000000000003E-2</v>
      </c>
      <c r="C17">
        <v>1</v>
      </c>
      <c r="D17">
        <v>183.47300000000001</v>
      </c>
      <c r="E17">
        <v>9.800026822000002E-2</v>
      </c>
      <c r="G17">
        <v>13</v>
      </c>
      <c r="H17">
        <v>1</v>
      </c>
      <c r="I17">
        <v>1</v>
      </c>
      <c r="J17">
        <v>-1</v>
      </c>
      <c r="K17">
        <v>2</v>
      </c>
      <c r="L17">
        <v>3</v>
      </c>
      <c r="M17">
        <v>3</v>
      </c>
      <c r="N17">
        <v>6</v>
      </c>
      <c r="O17">
        <v>1</v>
      </c>
      <c r="P17">
        <v>2</v>
      </c>
      <c r="Q17">
        <v>1</v>
      </c>
      <c r="R17">
        <v>1</v>
      </c>
      <c r="T17">
        <v>2.5295671170210121</v>
      </c>
      <c r="U17">
        <v>1.6118268468084049</v>
      </c>
      <c r="V17">
        <v>2.5295671170210121</v>
      </c>
      <c r="W17">
        <v>2.5295671170210121</v>
      </c>
      <c r="X17">
        <v>2.5295671170210121</v>
      </c>
      <c r="Y17">
        <v>2.5295671454170452</v>
      </c>
      <c r="Z17">
        <v>2.8329056449773931</v>
      </c>
      <c r="AA17">
        <v>2.5295671454170452</v>
      </c>
      <c r="AB17">
        <v>2.5295671454170452</v>
      </c>
      <c r="AC17">
        <v>1</v>
      </c>
      <c r="AD17">
        <v>1</v>
      </c>
      <c r="AF17">
        <v>13</v>
      </c>
      <c r="AG17">
        <v>3.5295671170210121</v>
      </c>
      <c r="AH17">
        <v>2.6118268468084049</v>
      </c>
      <c r="AI17">
        <v>1.5295671170210119</v>
      </c>
      <c r="AJ17">
        <v>4.5295671170210117</v>
      </c>
      <c r="AK17">
        <v>5.5295671170210117</v>
      </c>
      <c r="AL17">
        <v>5.5295671454170456</v>
      </c>
      <c r="AM17">
        <v>8.8329056449773926</v>
      </c>
      <c r="AN17">
        <v>3.5295671454170452</v>
      </c>
      <c r="AO17">
        <v>4.5295671454170456</v>
      </c>
      <c r="AP17">
        <v>2</v>
      </c>
      <c r="AQ17">
        <v>2</v>
      </c>
      <c r="AR17">
        <v>11.4447324917858</v>
      </c>
      <c r="AT17">
        <v>6.9296576761566019E-4</v>
      </c>
      <c r="AU17">
        <v>5.1278429783915076E-4</v>
      </c>
      <c r="AV17">
        <v>3.0030244962751562E-4</v>
      </c>
      <c r="AW17">
        <v>8.8929742660973229E-4</v>
      </c>
      <c r="AX17">
        <v>1.0856290856038049E-3</v>
      </c>
      <c r="AY17">
        <v>1.0856290911788449E-3</v>
      </c>
      <c r="AZ17">
        <v>1.7341790190165171E-3</v>
      </c>
      <c r="BA17">
        <v>6.9296577319070041E-4</v>
      </c>
      <c r="BB17">
        <v>8.8929743218477283E-4</v>
      </c>
      <c r="BC17">
        <v>3.9266331798814462E-4</v>
      </c>
      <c r="BD17">
        <v>3.9266331798814462E-4</v>
      </c>
    </row>
    <row r="18" spans="1:56" x14ac:dyDescent="0.2">
      <c r="A18">
        <v>14</v>
      </c>
      <c r="B18">
        <v>1.979633</v>
      </c>
      <c r="C18">
        <v>2</v>
      </c>
      <c r="D18">
        <v>141.602</v>
      </c>
      <c r="E18">
        <v>2.80319992066</v>
      </c>
      <c r="G18">
        <v>14</v>
      </c>
      <c r="H18">
        <v>2</v>
      </c>
      <c r="I18">
        <v>2</v>
      </c>
      <c r="J18">
        <v>-2</v>
      </c>
      <c r="K18">
        <v>4</v>
      </c>
      <c r="L18">
        <v>6</v>
      </c>
      <c r="M18">
        <v>6</v>
      </c>
      <c r="N18">
        <v>12</v>
      </c>
      <c r="O18">
        <v>2</v>
      </c>
      <c r="P18">
        <v>4</v>
      </c>
      <c r="Q18">
        <v>2</v>
      </c>
      <c r="R18">
        <v>2</v>
      </c>
      <c r="T18">
        <v>4.5967977780552669</v>
      </c>
      <c r="U18">
        <v>3.038719111222107</v>
      </c>
      <c r="V18">
        <v>4.5967977780552669</v>
      </c>
      <c r="W18">
        <v>4.5967977780552669</v>
      </c>
      <c r="X18">
        <v>4.5967977780552669</v>
      </c>
      <c r="Y18">
        <v>4.596797760891187</v>
      </c>
      <c r="Z18">
        <v>4.7887615185737591</v>
      </c>
      <c r="AA18">
        <v>4.596797760891187</v>
      </c>
      <c r="AB18">
        <v>4.596797760891187</v>
      </c>
      <c r="AC18">
        <v>2</v>
      </c>
      <c r="AD18">
        <v>2</v>
      </c>
      <c r="AF18">
        <v>14</v>
      </c>
      <c r="AG18">
        <v>6.5967977780552669</v>
      </c>
      <c r="AH18">
        <v>5.0387191112221066</v>
      </c>
      <c r="AI18">
        <v>2.5967977780552669</v>
      </c>
      <c r="AJ18">
        <v>8.5967977780552669</v>
      </c>
      <c r="AK18">
        <v>10.59679777805527</v>
      </c>
      <c r="AL18">
        <v>10.596797760891191</v>
      </c>
      <c r="AM18">
        <v>16.788761518573761</v>
      </c>
      <c r="AN18">
        <v>6.596797760891187</v>
      </c>
      <c r="AO18">
        <v>8.596797760891187</v>
      </c>
      <c r="AP18">
        <v>4</v>
      </c>
      <c r="AQ18">
        <v>4</v>
      </c>
      <c r="AR18">
        <v>21.827480629795861</v>
      </c>
      <c r="AT18">
        <v>1.2951602518140001E-3</v>
      </c>
      <c r="AU18">
        <v>9.8926008231137348E-4</v>
      </c>
      <c r="AV18">
        <v>5.0983361583771124E-4</v>
      </c>
      <c r="AW18">
        <v>1.6878235698021451E-3</v>
      </c>
      <c r="AX18">
        <v>2.0804868877902899E-3</v>
      </c>
      <c r="AY18">
        <v>2.0804868844204369E-3</v>
      </c>
      <c r="AZ18">
        <v>3.2961654013974259E-3</v>
      </c>
      <c r="BA18">
        <v>1.2951602484441479E-3</v>
      </c>
      <c r="BB18">
        <v>1.687823566432293E-3</v>
      </c>
      <c r="BC18">
        <v>7.8532663597628914E-4</v>
      </c>
      <c r="BD18">
        <v>7.8532663597628914E-4</v>
      </c>
    </row>
    <row r="19" spans="1:56" x14ac:dyDescent="0.2">
      <c r="A19">
        <v>15</v>
      </c>
      <c r="B19">
        <v>2.936385</v>
      </c>
      <c r="C19">
        <v>0</v>
      </c>
      <c r="D19">
        <v>55.060899999999997</v>
      </c>
      <c r="E19">
        <v>1.616800008465</v>
      </c>
      <c r="G19">
        <v>15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>
        <v>15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2">
      <c r="A20">
        <v>16</v>
      </c>
      <c r="B20">
        <v>0.228544</v>
      </c>
      <c r="C20">
        <v>2</v>
      </c>
      <c r="D20">
        <v>276.70800000000003</v>
      </c>
      <c r="E20">
        <v>0.63239953152000006</v>
      </c>
      <c r="G20">
        <v>16</v>
      </c>
      <c r="H20">
        <v>2</v>
      </c>
      <c r="I20">
        <v>2</v>
      </c>
      <c r="J20">
        <v>-2</v>
      </c>
      <c r="K20">
        <v>4</v>
      </c>
      <c r="L20">
        <v>6</v>
      </c>
      <c r="M20">
        <v>6</v>
      </c>
      <c r="N20">
        <v>12</v>
      </c>
      <c r="O20">
        <v>2</v>
      </c>
      <c r="P20">
        <v>4</v>
      </c>
      <c r="Q20">
        <v>2</v>
      </c>
      <c r="R20">
        <v>2</v>
      </c>
      <c r="T20">
        <v>3.1692660423409831</v>
      </c>
      <c r="U20">
        <v>2.4677064169363931</v>
      </c>
      <c r="V20">
        <v>3.1692660423409831</v>
      </c>
      <c r="W20">
        <v>3.1692660423409831</v>
      </c>
      <c r="X20">
        <v>3.1692660423409831</v>
      </c>
      <c r="Y20">
        <v>3.1693963267460661</v>
      </c>
      <c r="Z20">
        <v>2.912166613240224</v>
      </c>
      <c r="AA20">
        <v>3.1693963267460661</v>
      </c>
      <c r="AB20">
        <v>3.1693963267460661</v>
      </c>
      <c r="AC20">
        <v>2</v>
      </c>
      <c r="AD20">
        <v>2</v>
      </c>
      <c r="AF20">
        <v>16</v>
      </c>
      <c r="AG20">
        <v>5.1692660423409826</v>
      </c>
      <c r="AH20">
        <v>4.4677064169363927</v>
      </c>
      <c r="AI20">
        <v>1.1692660423409831</v>
      </c>
      <c r="AJ20">
        <v>7.1692660423409826</v>
      </c>
      <c r="AK20">
        <v>9.1692660423409826</v>
      </c>
      <c r="AL20">
        <v>9.1693963267460656</v>
      </c>
      <c r="AM20">
        <v>14.91216661324022</v>
      </c>
      <c r="AN20">
        <v>5.1693963267460656</v>
      </c>
      <c r="AO20">
        <v>7.1693963267460656</v>
      </c>
      <c r="AP20">
        <v>4</v>
      </c>
      <c r="AQ20">
        <v>4</v>
      </c>
      <c r="AR20">
        <v>19.379873030176618</v>
      </c>
      <c r="AT20">
        <v>1.0148905778745269E-3</v>
      </c>
      <c r="AU20">
        <v>8.7715221273558432E-4</v>
      </c>
      <c r="AV20">
        <v>2.2956394189823829E-4</v>
      </c>
      <c r="AW20">
        <v>1.407553895862672E-3</v>
      </c>
      <c r="AX20">
        <v>1.800217213850816E-3</v>
      </c>
      <c r="AY20">
        <v>1.800242792804208E-3</v>
      </c>
      <c r="AZ20">
        <v>2.9277304103734691E-3</v>
      </c>
      <c r="BA20">
        <v>1.0149161568279181E-3</v>
      </c>
      <c r="BB20">
        <v>1.4075794748160629E-3</v>
      </c>
      <c r="BC20">
        <v>7.8532663597628914E-4</v>
      </c>
      <c r="BD20">
        <v>7.8532663597628914E-4</v>
      </c>
    </row>
    <row r="21" spans="1:56" x14ac:dyDescent="0.2">
      <c r="A21">
        <v>17</v>
      </c>
      <c r="B21">
        <v>0.80811599999999995</v>
      </c>
      <c r="C21">
        <v>13</v>
      </c>
      <c r="D21">
        <v>230.066</v>
      </c>
      <c r="E21">
        <v>1.85920015656</v>
      </c>
      <c r="G21">
        <v>17</v>
      </c>
      <c r="H21">
        <v>13</v>
      </c>
      <c r="I21">
        <v>13</v>
      </c>
      <c r="J21">
        <v>-13</v>
      </c>
      <c r="K21">
        <v>26</v>
      </c>
      <c r="L21">
        <v>39</v>
      </c>
      <c r="M21">
        <v>39</v>
      </c>
      <c r="N21">
        <v>78</v>
      </c>
      <c r="O21">
        <v>13</v>
      </c>
      <c r="P21">
        <v>26</v>
      </c>
      <c r="Q21">
        <v>13</v>
      </c>
      <c r="R21">
        <v>13</v>
      </c>
      <c r="T21">
        <v>26.518299421691381</v>
      </c>
      <c r="U21">
        <v>18.407319768676551</v>
      </c>
      <c r="V21">
        <v>26.518299421691381</v>
      </c>
      <c r="W21">
        <v>26.518299421691381</v>
      </c>
      <c r="X21">
        <v>26.518299421691381</v>
      </c>
      <c r="Y21">
        <v>26.518822870146671</v>
      </c>
      <c r="Z21">
        <v>22.520024809390119</v>
      </c>
      <c r="AA21">
        <v>26.518822870146671</v>
      </c>
      <c r="AB21">
        <v>26.518822870146671</v>
      </c>
      <c r="AC21">
        <v>13</v>
      </c>
      <c r="AD21">
        <v>13</v>
      </c>
      <c r="AF21">
        <v>17</v>
      </c>
      <c r="AG21">
        <v>39.518299421691381</v>
      </c>
      <c r="AH21">
        <v>31.407319768676551</v>
      </c>
      <c r="AI21">
        <v>13.518299421691379</v>
      </c>
      <c r="AJ21">
        <v>52.518299421691381</v>
      </c>
      <c r="AK21">
        <v>65.518299421691381</v>
      </c>
      <c r="AL21">
        <v>65.518822870146664</v>
      </c>
      <c r="AM21">
        <v>100.52002480939009</v>
      </c>
      <c r="AN21">
        <v>39.518822870146671</v>
      </c>
      <c r="AO21">
        <v>52.518822870146671</v>
      </c>
      <c r="AP21">
        <v>26</v>
      </c>
      <c r="AQ21">
        <v>26</v>
      </c>
      <c r="AR21">
        <v>131.92734457806671</v>
      </c>
      <c r="AT21">
        <v>7.7586932860851561E-3</v>
      </c>
      <c r="AU21">
        <v>6.1662511947415894E-3</v>
      </c>
      <c r="AV21">
        <v>2.654070152239276E-3</v>
      </c>
      <c r="AW21">
        <v>1.03110048530081E-2</v>
      </c>
      <c r="AX21">
        <v>1.2863316419931039E-2</v>
      </c>
      <c r="AY21">
        <v>1.286341918943466E-2</v>
      </c>
      <c r="AZ21">
        <v>1.9735263232952861E-2</v>
      </c>
      <c r="BA21">
        <v>7.7587960555887811E-3</v>
      </c>
      <c r="BB21">
        <v>1.0311107622511719E-2</v>
      </c>
      <c r="BC21">
        <v>5.1046231338458788E-3</v>
      </c>
      <c r="BD21">
        <v>5.1046231338458788E-3</v>
      </c>
    </row>
    <row r="22" spans="1:56" x14ac:dyDescent="0.2">
      <c r="A22">
        <v>18</v>
      </c>
      <c r="B22">
        <v>4.0761770000000004</v>
      </c>
      <c r="C22">
        <v>21</v>
      </c>
      <c r="D22">
        <v>257.50599999999997</v>
      </c>
      <c r="E22">
        <v>10.49640034562</v>
      </c>
      <c r="G22">
        <v>18</v>
      </c>
      <c r="H22">
        <v>21</v>
      </c>
      <c r="I22">
        <v>21</v>
      </c>
      <c r="J22">
        <v>-21</v>
      </c>
      <c r="K22">
        <v>42</v>
      </c>
      <c r="L22">
        <v>63</v>
      </c>
      <c r="M22">
        <v>63</v>
      </c>
      <c r="N22">
        <v>126</v>
      </c>
      <c r="O22">
        <v>21</v>
      </c>
      <c r="P22">
        <v>42</v>
      </c>
      <c r="Q22">
        <v>21</v>
      </c>
      <c r="R22">
        <v>21</v>
      </c>
      <c r="T22">
        <v>47.731381699509349</v>
      </c>
      <c r="U22">
        <v>31.69255267980374</v>
      </c>
      <c r="V22">
        <v>47.731381699509349</v>
      </c>
      <c r="W22">
        <v>47.731381699509349</v>
      </c>
      <c r="X22">
        <v>47.731381699509349</v>
      </c>
      <c r="Y22">
        <v>47.741291717873523</v>
      </c>
      <c r="Z22">
        <v>40.400037199108937</v>
      </c>
      <c r="AA22">
        <v>47.741291717873523</v>
      </c>
      <c r="AB22">
        <v>47.741291717873523</v>
      </c>
      <c r="AC22">
        <v>21</v>
      </c>
      <c r="AD22">
        <v>21</v>
      </c>
      <c r="AF22">
        <v>18</v>
      </c>
      <c r="AG22">
        <v>68.731381699509342</v>
      </c>
      <c r="AH22">
        <v>52.69255267980374</v>
      </c>
      <c r="AI22">
        <v>26.731381699509349</v>
      </c>
      <c r="AJ22">
        <v>89.731381699509342</v>
      </c>
      <c r="AK22">
        <v>110.7313816995093</v>
      </c>
      <c r="AL22">
        <v>110.74129171787349</v>
      </c>
      <c r="AM22">
        <v>166.40003719910891</v>
      </c>
      <c r="AN22">
        <v>68.741291717873509</v>
      </c>
      <c r="AO22">
        <v>89.741291717873509</v>
      </c>
      <c r="AP22">
        <v>42</v>
      </c>
      <c r="AQ22">
        <v>42</v>
      </c>
      <c r="AR22">
        <v>219.09258987891269</v>
      </c>
      <c r="AT22">
        <v>1.349414619401949E-2</v>
      </c>
      <c r="AU22">
        <v>1.034521628425842E-2</v>
      </c>
      <c r="AV22">
        <v>5.2482165162684533E-3</v>
      </c>
      <c r="AW22">
        <v>1.7617111032895E-2</v>
      </c>
      <c r="AX22">
        <v>2.1740075871770521E-2</v>
      </c>
      <c r="AY22">
        <v>2.1742021522116621E-2</v>
      </c>
      <c r="AZ22">
        <v>3.2669595359976399E-2</v>
      </c>
      <c r="BA22">
        <v>1.349609184436559E-2</v>
      </c>
      <c r="BB22">
        <v>1.76190566832411E-2</v>
      </c>
      <c r="BC22">
        <v>8.2459296777510349E-3</v>
      </c>
      <c r="BD22">
        <v>8.2459296777510349E-3</v>
      </c>
    </row>
    <row r="23" spans="1:56" x14ac:dyDescent="0.2">
      <c r="A23">
        <v>19</v>
      </c>
      <c r="B23">
        <v>8.6490799999999997</v>
      </c>
      <c r="C23">
        <v>28</v>
      </c>
      <c r="D23">
        <v>262.858</v>
      </c>
      <c r="E23">
        <v>22.734798706399999</v>
      </c>
      <c r="G23">
        <v>19</v>
      </c>
      <c r="H23">
        <v>28</v>
      </c>
      <c r="I23">
        <v>28</v>
      </c>
      <c r="J23">
        <v>-28</v>
      </c>
      <c r="K23">
        <v>56</v>
      </c>
      <c r="L23">
        <v>84</v>
      </c>
      <c r="M23">
        <v>84</v>
      </c>
      <c r="N23">
        <v>168</v>
      </c>
      <c r="O23">
        <v>28</v>
      </c>
      <c r="P23">
        <v>56</v>
      </c>
      <c r="Q23">
        <v>28</v>
      </c>
      <c r="R23">
        <v>28</v>
      </c>
      <c r="T23">
        <v>63.875069043543171</v>
      </c>
      <c r="U23">
        <v>42.350027617417268</v>
      </c>
      <c r="V23">
        <v>63.875069043543171</v>
      </c>
      <c r="W23">
        <v>63.875069043543171</v>
      </c>
      <c r="X23">
        <v>63.875069043543171</v>
      </c>
      <c r="Y23">
        <v>63.893637888089479</v>
      </c>
      <c r="Z23">
        <v>61.160899620360482</v>
      </c>
      <c r="AA23">
        <v>63.893637888089479</v>
      </c>
      <c r="AB23">
        <v>63.893637888089479</v>
      </c>
      <c r="AC23">
        <v>28</v>
      </c>
      <c r="AD23">
        <v>28</v>
      </c>
      <c r="AF23">
        <v>19</v>
      </c>
      <c r="AG23">
        <v>91.875069043543164</v>
      </c>
      <c r="AH23">
        <v>70.350027617417268</v>
      </c>
      <c r="AI23">
        <v>35.875069043543171</v>
      </c>
      <c r="AJ23">
        <v>119.87506904354321</v>
      </c>
      <c r="AK23">
        <v>147.87506904354319</v>
      </c>
      <c r="AL23">
        <v>147.8936378880895</v>
      </c>
      <c r="AM23">
        <v>229.16089962036051</v>
      </c>
      <c r="AN23">
        <v>91.893637888089472</v>
      </c>
      <c r="AO23">
        <v>119.8936378880895</v>
      </c>
      <c r="AP23">
        <v>56</v>
      </c>
      <c r="AQ23">
        <v>56</v>
      </c>
      <c r="AR23">
        <v>299.51092723777782</v>
      </c>
      <c r="AT23">
        <v>1.803798472551376E-2</v>
      </c>
      <c r="AU23">
        <v>1.381193763240633E-2</v>
      </c>
      <c r="AV23">
        <v>7.0434118218457168E-3</v>
      </c>
      <c r="AW23">
        <v>2.3535271177347789E-2</v>
      </c>
      <c r="AX23">
        <v>2.9032557629181811E-2</v>
      </c>
      <c r="AY23">
        <v>2.903620328123719E-2</v>
      </c>
      <c r="AZ23">
        <v>4.499153959903944E-2</v>
      </c>
      <c r="BA23">
        <v>1.8041630377569139E-2</v>
      </c>
      <c r="BB23">
        <v>2.3538916829403161E-2</v>
      </c>
      <c r="BC23">
        <v>1.0994572903668049E-2</v>
      </c>
      <c r="BD23">
        <v>1.0994572903668049E-2</v>
      </c>
    </row>
    <row r="24" spans="1:56" x14ac:dyDescent="0.2">
      <c r="A24">
        <v>20</v>
      </c>
      <c r="B24">
        <v>0.17679700000000001</v>
      </c>
      <c r="C24">
        <v>5</v>
      </c>
      <c r="D24">
        <v>77.603200000000001</v>
      </c>
      <c r="E24">
        <v>0.13720012950400001</v>
      </c>
      <c r="G24">
        <v>20</v>
      </c>
      <c r="H24">
        <v>5</v>
      </c>
      <c r="I24">
        <v>5</v>
      </c>
      <c r="J24">
        <v>-5</v>
      </c>
      <c r="K24">
        <v>10</v>
      </c>
      <c r="L24">
        <v>15</v>
      </c>
      <c r="M24">
        <v>15</v>
      </c>
      <c r="N24">
        <v>30</v>
      </c>
      <c r="O24">
        <v>5</v>
      </c>
      <c r="P24">
        <v>10</v>
      </c>
      <c r="Q24">
        <v>5</v>
      </c>
      <c r="R24">
        <v>5</v>
      </c>
      <c r="T24">
        <v>11.27491941532357</v>
      </c>
      <c r="U24">
        <v>7.5099677661294271</v>
      </c>
      <c r="V24">
        <v>11.27491941532357</v>
      </c>
      <c r="W24">
        <v>11.27491941532357</v>
      </c>
      <c r="X24">
        <v>11.27491941532357</v>
      </c>
      <c r="Y24">
        <v>11.28279347224869</v>
      </c>
      <c r="Z24">
        <v>11.578850750784611</v>
      </c>
      <c r="AA24">
        <v>11.28279347224869</v>
      </c>
      <c r="AB24">
        <v>11.28279347224869</v>
      </c>
      <c r="AC24">
        <v>5</v>
      </c>
      <c r="AD24">
        <v>5</v>
      </c>
      <c r="AF24">
        <v>20</v>
      </c>
      <c r="AG24">
        <v>16.27491941532357</v>
      </c>
      <c r="AH24">
        <v>12.50996776612943</v>
      </c>
      <c r="AI24">
        <v>6.2749194153235699</v>
      </c>
      <c r="AJ24">
        <v>21.27491941532357</v>
      </c>
      <c r="AK24">
        <v>26.27491941532357</v>
      </c>
      <c r="AL24">
        <v>26.282793472248692</v>
      </c>
      <c r="AM24">
        <v>41.578850750784611</v>
      </c>
      <c r="AN24">
        <v>16.282793472248692</v>
      </c>
      <c r="AO24">
        <v>21.282793472248692</v>
      </c>
      <c r="AP24">
        <v>10</v>
      </c>
      <c r="AQ24">
        <v>10</v>
      </c>
      <c r="AR24">
        <v>54.088818516914039</v>
      </c>
      <c r="AT24">
        <v>3.1952819288053129E-3</v>
      </c>
      <c r="AU24">
        <v>2.4561027254865588E-3</v>
      </c>
      <c r="AV24">
        <v>1.23196533886459E-3</v>
      </c>
      <c r="AW24">
        <v>4.1769402237756747E-3</v>
      </c>
      <c r="AX24">
        <v>5.1585985187460361E-3</v>
      </c>
      <c r="AY24">
        <v>5.1601444454051583E-3</v>
      </c>
      <c r="AZ24">
        <v>8.1632447469684698E-3</v>
      </c>
      <c r="BA24">
        <v>3.196827855464436E-3</v>
      </c>
      <c r="BB24">
        <v>4.1784861504347969E-3</v>
      </c>
      <c r="BC24">
        <v>1.9633165899407231E-3</v>
      </c>
      <c r="BD24">
        <v>1.9633165899407231E-3</v>
      </c>
    </row>
    <row r="25" spans="1:56" x14ac:dyDescent="0.2">
      <c r="A25">
        <v>21</v>
      </c>
      <c r="B25">
        <v>12.400562000000001</v>
      </c>
      <c r="C25">
        <v>16</v>
      </c>
      <c r="D25">
        <v>287.416</v>
      </c>
      <c r="E25">
        <v>35.641199277920002</v>
      </c>
      <c r="G25">
        <v>21</v>
      </c>
      <c r="H25">
        <v>16</v>
      </c>
      <c r="I25">
        <v>16</v>
      </c>
      <c r="J25">
        <v>-16</v>
      </c>
      <c r="K25">
        <v>32</v>
      </c>
      <c r="L25">
        <v>48</v>
      </c>
      <c r="M25">
        <v>48</v>
      </c>
      <c r="N25">
        <v>96</v>
      </c>
      <c r="O25">
        <v>16</v>
      </c>
      <c r="P25">
        <v>32</v>
      </c>
      <c r="Q25">
        <v>16</v>
      </c>
      <c r="R25">
        <v>16</v>
      </c>
      <c r="T25">
        <v>43.118006919000003</v>
      </c>
      <c r="U25">
        <v>26.847202767599999</v>
      </c>
      <c r="V25">
        <v>43.118006919000003</v>
      </c>
      <c r="W25">
        <v>43.118006919000003</v>
      </c>
      <c r="X25">
        <v>43.118006919000003</v>
      </c>
      <c r="Y25">
        <v>43.118415865790958</v>
      </c>
      <c r="Z25">
        <v>44.334125409323981</v>
      </c>
      <c r="AA25">
        <v>43.118415865790958</v>
      </c>
      <c r="AB25">
        <v>43.118415865790958</v>
      </c>
      <c r="AC25">
        <v>16</v>
      </c>
      <c r="AD25">
        <v>16</v>
      </c>
      <c r="AF25">
        <v>21</v>
      </c>
      <c r="AG25">
        <v>59.118006919000003</v>
      </c>
      <c r="AH25">
        <v>42.847202767600002</v>
      </c>
      <c r="AI25">
        <v>27.118006918999999</v>
      </c>
      <c r="AJ25">
        <v>75.11800691900001</v>
      </c>
      <c r="AK25">
        <v>91.11800691900001</v>
      </c>
      <c r="AL25">
        <v>91.118415865790951</v>
      </c>
      <c r="AM25">
        <v>140.334125409324</v>
      </c>
      <c r="AN25">
        <v>59.118415865790958</v>
      </c>
      <c r="AO25">
        <v>75.118415865790951</v>
      </c>
      <c r="AP25">
        <v>32</v>
      </c>
      <c r="AQ25">
        <v>32</v>
      </c>
      <c r="AR25">
        <v>183.18132817692401</v>
      </c>
      <c r="AT25">
        <v>1.160673637483031E-2</v>
      </c>
      <c r="AU25">
        <v>8.4122624026183122E-3</v>
      </c>
      <c r="AV25">
        <v>5.3241232870200007E-3</v>
      </c>
      <c r="AW25">
        <v>1.4748042918735471E-2</v>
      </c>
      <c r="AX25">
        <v>1.788934946264063E-2</v>
      </c>
      <c r="AY25">
        <v>1.7889429751842531E-2</v>
      </c>
      <c r="AZ25">
        <v>2.7552031655094771E-2</v>
      </c>
      <c r="BA25">
        <v>1.1606816664032221E-2</v>
      </c>
      <c r="BB25">
        <v>1.4748123207937379E-2</v>
      </c>
      <c r="BC25">
        <v>6.2826130878103131E-3</v>
      </c>
      <c r="BD25">
        <v>6.2826130878103131E-3</v>
      </c>
    </row>
    <row r="26" spans="1:56" x14ac:dyDescent="0.2">
      <c r="A26">
        <v>22</v>
      </c>
      <c r="B26">
        <v>2.6260159999999999</v>
      </c>
      <c r="C26">
        <v>6</v>
      </c>
      <c r="D26">
        <v>355.09300000000002</v>
      </c>
      <c r="E26">
        <v>9.3247989948800001</v>
      </c>
      <c r="G26">
        <v>22</v>
      </c>
      <c r="H26">
        <v>6</v>
      </c>
      <c r="I26">
        <v>6</v>
      </c>
      <c r="J26">
        <v>-6</v>
      </c>
      <c r="K26">
        <v>12</v>
      </c>
      <c r="L26">
        <v>18</v>
      </c>
      <c r="M26">
        <v>18</v>
      </c>
      <c r="N26">
        <v>36</v>
      </c>
      <c r="O26">
        <v>6</v>
      </c>
      <c r="P26">
        <v>12</v>
      </c>
      <c r="Q26">
        <v>6</v>
      </c>
      <c r="R26">
        <v>6</v>
      </c>
      <c r="T26">
        <v>16.52322431080664</v>
      </c>
      <c r="U26">
        <v>10.20928972432265</v>
      </c>
      <c r="V26">
        <v>16.52322431080664</v>
      </c>
      <c r="W26">
        <v>16.52322431080664</v>
      </c>
      <c r="X26">
        <v>16.52322431080664</v>
      </c>
      <c r="Y26">
        <v>16.52322423954352</v>
      </c>
      <c r="Z26">
        <v>19.417630863208299</v>
      </c>
      <c r="AA26">
        <v>16.52322423954352</v>
      </c>
      <c r="AB26">
        <v>16.52322423954352</v>
      </c>
      <c r="AC26">
        <v>6</v>
      </c>
      <c r="AD26">
        <v>6</v>
      </c>
      <c r="AF26">
        <v>22</v>
      </c>
      <c r="AG26">
        <v>22.52322431080664</v>
      </c>
      <c r="AH26">
        <v>16.209289724322652</v>
      </c>
      <c r="AI26">
        <v>10.52322431080664</v>
      </c>
      <c r="AJ26">
        <v>28.52322431080664</v>
      </c>
      <c r="AK26">
        <v>34.52322431080664</v>
      </c>
      <c r="AL26">
        <v>34.523224239543516</v>
      </c>
      <c r="AM26">
        <v>55.417630863208302</v>
      </c>
      <c r="AN26">
        <v>22.52322423954352</v>
      </c>
      <c r="AO26">
        <v>28.52322423954352</v>
      </c>
      <c r="AP26">
        <v>12</v>
      </c>
      <c r="AQ26">
        <v>12</v>
      </c>
      <c r="AR26">
        <v>71.626920587530947</v>
      </c>
      <c r="AT26">
        <v>4.4220219948362879E-3</v>
      </c>
      <c r="AU26">
        <v>3.1823967426918352E-3</v>
      </c>
      <c r="AV26">
        <v>2.0660420869074211E-3</v>
      </c>
      <c r="AW26">
        <v>5.6000119488007214E-3</v>
      </c>
      <c r="AX26">
        <v>6.7780019027651548E-3</v>
      </c>
      <c r="AY26">
        <v>6.7780018887739482E-3</v>
      </c>
      <c r="AZ26">
        <v>1.088023540489479E-2</v>
      </c>
      <c r="BA26">
        <v>4.4220219808450796E-3</v>
      </c>
      <c r="BB26">
        <v>5.6000119348095139E-3</v>
      </c>
      <c r="BC26">
        <v>2.3559799079288669E-3</v>
      </c>
      <c r="BD26">
        <v>2.3559799079288669E-3</v>
      </c>
    </row>
    <row r="28" spans="1:56" x14ac:dyDescent="0.2">
      <c r="C28">
        <v>1013</v>
      </c>
      <c r="AQ28" s="7" t="s">
        <v>71</v>
      </c>
      <c r="AR28" s="7">
        <v>11846.849782879</v>
      </c>
    </row>
    <row r="29" spans="1:56" x14ac:dyDescent="0.2">
      <c r="H29" t="s">
        <v>72</v>
      </c>
      <c r="T29" t="s">
        <v>73</v>
      </c>
      <c r="AG29" t="s">
        <v>74</v>
      </c>
      <c r="AT29" t="s">
        <v>75</v>
      </c>
    </row>
    <row r="31" spans="1:56" x14ac:dyDescent="0.2">
      <c r="G31">
        <v>1</v>
      </c>
      <c r="H31">
        <v>0.27759980267800011</v>
      </c>
      <c r="I31">
        <v>0.27759980267800011</v>
      </c>
      <c r="J31">
        <v>-0.27759980267800011</v>
      </c>
      <c r="K31">
        <v>0.5551996053560001</v>
      </c>
      <c r="L31">
        <v>0.83279940803400021</v>
      </c>
      <c r="M31">
        <v>0.83279940803400021</v>
      </c>
      <c r="N31">
        <v>1.665598816068</v>
      </c>
      <c r="O31">
        <v>0.27759980267800011</v>
      </c>
      <c r="P31">
        <v>0.5551996053560001</v>
      </c>
      <c r="Q31">
        <v>0.27759980267800011</v>
      </c>
      <c r="R31">
        <v>0.27759980267800011</v>
      </c>
      <c r="T31">
        <v>0.86573929669666094</v>
      </c>
      <c r="U31">
        <v>0.5128556002854644</v>
      </c>
      <c r="V31">
        <v>0.86573929669666094</v>
      </c>
      <c r="W31">
        <v>0.86573929669666094</v>
      </c>
      <c r="X31">
        <v>0.86573929669666094</v>
      </c>
      <c r="Y31">
        <v>0.86573930203027138</v>
      </c>
      <c r="Z31">
        <v>0.94521275078828382</v>
      </c>
      <c r="AA31">
        <v>0.86573930203027138</v>
      </c>
      <c r="AB31">
        <v>0.86573930203027138</v>
      </c>
      <c r="AC31">
        <v>0.27759980267800011</v>
      </c>
      <c r="AD31">
        <v>0.27759980267800011</v>
      </c>
      <c r="AF31">
        <v>1</v>
      </c>
      <c r="AG31">
        <v>1.143339099374661</v>
      </c>
      <c r="AH31">
        <v>0.7904554029634645</v>
      </c>
      <c r="AI31">
        <v>0.58813949401866084</v>
      </c>
      <c r="AJ31">
        <v>1.420938902052661</v>
      </c>
      <c r="AK31">
        <v>1.698538704730661</v>
      </c>
      <c r="AL31">
        <v>1.698538710064271</v>
      </c>
      <c r="AM31">
        <v>2.6108115668562841</v>
      </c>
      <c r="AN31">
        <v>1.143339104708271</v>
      </c>
      <c r="AO31">
        <v>1.420938907386271</v>
      </c>
      <c r="AP31">
        <v>0.5551996053560001</v>
      </c>
      <c r="AQ31">
        <v>0.5551996053560001</v>
      </c>
      <c r="AR31">
        <v>3.4012669698197491</v>
      </c>
      <c r="AT31">
        <v>3.6574587507156092E-3</v>
      </c>
      <c r="AU31">
        <v>2.5286094319702649E-3</v>
      </c>
      <c r="AV31">
        <v>1.881415531242239E-3</v>
      </c>
      <c r="AW31">
        <v>4.5454803604522932E-3</v>
      </c>
      <c r="AX31">
        <v>5.4335019701889772E-3</v>
      </c>
      <c r="AY31">
        <v>5.4335019872508101E-3</v>
      </c>
      <c r="AZ31">
        <v>8.3517966077524593E-3</v>
      </c>
      <c r="BA31">
        <v>3.657458767777442E-3</v>
      </c>
      <c r="BB31">
        <v>4.545480377514126E-3</v>
      </c>
      <c r="BC31">
        <v>1.7760432194733691E-3</v>
      </c>
      <c r="BD31">
        <v>1.7760432194733691E-3</v>
      </c>
    </row>
    <row r="32" spans="1:56" x14ac:dyDescent="0.2">
      <c r="G32">
        <v>2</v>
      </c>
      <c r="H32">
        <v>7.9999923689999988E-2</v>
      </c>
      <c r="I32">
        <v>7.9999923689999988E-2</v>
      </c>
      <c r="J32">
        <v>-7.9999923689999988E-2</v>
      </c>
      <c r="K32">
        <v>0.15999984738</v>
      </c>
      <c r="L32">
        <v>0.23999977107000001</v>
      </c>
      <c r="M32">
        <v>0.23999977107000001</v>
      </c>
      <c r="N32">
        <v>0.47999954214000001</v>
      </c>
      <c r="O32">
        <v>7.9999923689999988E-2</v>
      </c>
      <c r="P32">
        <v>0.15999984738</v>
      </c>
      <c r="Q32">
        <v>7.9999923689999988E-2</v>
      </c>
      <c r="R32">
        <v>7.9999923689999988E-2</v>
      </c>
      <c r="T32">
        <v>0.33519038606646029</v>
      </c>
      <c r="U32">
        <v>0.1820761086405841</v>
      </c>
      <c r="V32">
        <v>0.33519038606646029</v>
      </c>
      <c r="W32">
        <v>0.33519038606646029</v>
      </c>
      <c r="X32">
        <v>0.33519038606646029</v>
      </c>
      <c r="Y32">
        <v>0.33519038576468102</v>
      </c>
      <c r="Z32">
        <v>0.39999961844999993</v>
      </c>
      <c r="AA32">
        <v>0.33519038576468102</v>
      </c>
      <c r="AB32">
        <v>0.33519038576468102</v>
      </c>
      <c r="AC32">
        <v>7.9999923689999988E-2</v>
      </c>
      <c r="AD32">
        <v>7.9999923689999988E-2</v>
      </c>
      <c r="AF32">
        <v>2</v>
      </c>
      <c r="AG32">
        <v>0.41519030975646032</v>
      </c>
      <c r="AH32">
        <v>0.26207603233058407</v>
      </c>
      <c r="AI32">
        <v>0.25519046237646043</v>
      </c>
      <c r="AJ32">
        <v>0.49519023344646029</v>
      </c>
      <c r="AK32">
        <v>0.57519015713646038</v>
      </c>
      <c r="AL32">
        <v>0.57519015683468089</v>
      </c>
      <c r="AM32">
        <v>0.87999916058999994</v>
      </c>
      <c r="AN32">
        <v>0.41519030945468088</v>
      </c>
      <c r="AO32">
        <v>0.49519023314468091</v>
      </c>
      <c r="AP32">
        <v>0.15999984738</v>
      </c>
      <c r="AQ32">
        <v>0.15999984738</v>
      </c>
      <c r="AR32">
        <v>1.1420751929205839</v>
      </c>
      <c r="AT32">
        <v>1.328163650190606E-3</v>
      </c>
      <c r="AU32">
        <v>8.3836219571654827E-4</v>
      </c>
      <c r="AV32">
        <v>8.1633575745676317E-4</v>
      </c>
      <c r="AW32">
        <v>1.5840775965575279E-3</v>
      </c>
      <c r="AX32">
        <v>1.83999154292445E-3</v>
      </c>
      <c r="AY32">
        <v>1.839991541959079E-3</v>
      </c>
      <c r="AZ32">
        <v>2.8150534100361379E-3</v>
      </c>
      <c r="BA32">
        <v>1.3281636492252359E-3</v>
      </c>
      <c r="BB32">
        <v>1.5840775955921569E-3</v>
      </c>
      <c r="BC32">
        <v>5.1182789273384308E-4</v>
      </c>
      <c r="BD32">
        <v>5.1182789273384308E-4</v>
      </c>
    </row>
    <row r="33" spans="7:56" x14ac:dyDescent="0.2">
      <c r="G33">
        <v>3</v>
      </c>
      <c r="H33">
        <v>1.2420001512359999</v>
      </c>
      <c r="I33">
        <v>1.2420001512359999</v>
      </c>
      <c r="J33">
        <v>-1.2420001512359999</v>
      </c>
      <c r="K33">
        <v>2.4840003024719999</v>
      </c>
      <c r="L33">
        <v>3.726000453708</v>
      </c>
      <c r="M33">
        <v>3.726000453708</v>
      </c>
      <c r="N33">
        <v>7.4520009074160001</v>
      </c>
      <c r="O33">
        <v>1.2420001512359999</v>
      </c>
      <c r="P33">
        <v>2.4840003024719999</v>
      </c>
      <c r="Q33">
        <v>1.2420001512359999</v>
      </c>
      <c r="R33">
        <v>1.2420001512359999</v>
      </c>
      <c r="T33">
        <v>3.695463109667938</v>
      </c>
      <c r="U33">
        <v>2.2233853346087749</v>
      </c>
      <c r="V33">
        <v>3.695463109667938</v>
      </c>
      <c r="W33">
        <v>3.695463109667938</v>
      </c>
      <c r="X33">
        <v>3.695463109667938</v>
      </c>
      <c r="Y33">
        <v>3.6968327371298031</v>
      </c>
      <c r="Z33">
        <v>4.1303845741795149</v>
      </c>
      <c r="AA33">
        <v>3.6968327371298031</v>
      </c>
      <c r="AB33">
        <v>3.6968327371298031</v>
      </c>
      <c r="AC33">
        <v>1.2420001512359999</v>
      </c>
      <c r="AD33">
        <v>1.2420001512359999</v>
      </c>
      <c r="AF33">
        <v>3</v>
      </c>
      <c r="AG33">
        <v>4.9374632609039377</v>
      </c>
      <c r="AH33">
        <v>3.465385485844775</v>
      </c>
      <c r="AI33">
        <v>2.4534629584319378</v>
      </c>
      <c r="AJ33">
        <v>6.1794634121399383</v>
      </c>
      <c r="AK33">
        <v>7.421463563375938</v>
      </c>
      <c r="AL33">
        <v>7.4228331908378031</v>
      </c>
      <c r="AM33">
        <v>11.582385481595519</v>
      </c>
      <c r="AN33">
        <v>4.9388328883658028</v>
      </c>
      <c r="AO33">
        <v>6.1808330396018034</v>
      </c>
      <c r="AP33">
        <v>2.4840003024719999</v>
      </c>
      <c r="AQ33">
        <v>2.4840003024719999</v>
      </c>
      <c r="AR33">
        <v>15.04777096744029</v>
      </c>
      <c r="AT33">
        <v>1.579458641780632E-2</v>
      </c>
      <c r="AU33">
        <v>1.108551651626192E-2</v>
      </c>
      <c r="AV33">
        <v>7.8484498359073351E-3</v>
      </c>
      <c r="AW33">
        <v>1.976765470875582E-2</v>
      </c>
      <c r="AX33">
        <v>2.374072299970531E-2</v>
      </c>
      <c r="AY33">
        <v>2.3745104338494791E-2</v>
      </c>
      <c r="AZ33">
        <v>3.7051210053948569E-2</v>
      </c>
      <c r="BA33">
        <v>1.57989677565958E-2</v>
      </c>
      <c r="BB33">
        <v>1.977203604754529E-2</v>
      </c>
      <c r="BC33">
        <v>7.9461365818989868E-3</v>
      </c>
      <c r="BD33">
        <v>7.9461365818989868E-3</v>
      </c>
    </row>
    <row r="34" spans="7:56" x14ac:dyDescent="0.2">
      <c r="G34">
        <v>4</v>
      </c>
      <c r="H34">
        <v>0.63559991565500007</v>
      </c>
      <c r="I34">
        <v>0.63559991565500007</v>
      </c>
      <c r="J34">
        <v>-0.63559991565500007</v>
      </c>
      <c r="K34">
        <v>1.2711998313099999</v>
      </c>
      <c r="L34">
        <v>1.906799746965</v>
      </c>
      <c r="M34">
        <v>1.906799746965</v>
      </c>
      <c r="N34">
        <v>3.81359949393</v>
      </c>
      <c r="O34">
        <v>0.63559991565500007</v>
      </c>
      <c r="P34">
        <v>1.2711998313099999</v>
      </c>
      <c r="Q34">
        <v>0.63559991565500007</v>
      </c>
      <c r="R34">
        <v>0.63559991565500007</v>
      </c>
      <c r="T34">
        <v>1.4762328040385171</v>
      </c>
      <c r="U34">
        <v>0.97185307100840657</v>
      </c>
      <c r="V34">
        <v>1.4762328040385171</v>
      </c>
      <c r="W34">
        <v>1.4762328040385171</v>
      </c>
      <c r="X34">
        <v>1.4762328040385171</v>
      </c>
      <c r="Y34">
        <v>1.4762327636330399</v>
      </c>
      <c r="Z34">
        <v>1.6748550165405951</v>
      </c>
      <c r="AA34">
        <v>1.4762327636330399</v>
      </c>
      <c r="AB34">
        <v>1.4762327636330399</v>
      </c>
      <c r="AC34">
        <v>0.63559991565500007</v>
      </c>
      <c r="AD34">
        <v>0.63559991565500007</v>
      </c>
      <c r="AF34">
        <v>4</v>
      </c>
      <c r="AG34">
        <v>2.1118327196935169</v>
      </c>
      <c r="AH34">
        <v>1.6074529866634071</v>
      </c>
      <c r="AI34">
        <v>0.84063288838351657</v>
      </c>
      <c r="AJ34">
        <v>2.7474326353485168</v>
      </c>
      <c r="AK34">
        <v>3.3830325510035171</v>
      </c>
      <c r="AL34">
        <v>3.3830325105980399</v>
      </c>
      <c r="AM34">
        <v>5.4884545104705964</v>
      </c>
      <c r="AN34">
        <v>2.1118326792880402</v>
      </c>
      <c r="AO34">
        <v>2.74743259494304</v>
      </c>
      <c r="AP34">
        <v>1.2711998313099999</v>
      </c>
      <c r="AQ34">
        <v>1.2711998313099999</v>
      </c>
      <c r="AR34">
        <v>7.0959074971340019</v>
      </c>
      <c r="AT34">
        <v>6.7555995110419442E-3</v>
      </c>
      <c r="AU34">
        <v>5.1421253726489273E-3</v>
      </c>
      <c r="AV34">
        <v>2.6891235639883602E-3</v>
      </c>
      <c r="AW34">
        <v>8.7888374845687348E-3</v>
      </c>
      <c r="AX34">
        <v>1.0822075458095531E-2</v>
      </c>
      <c r="AY34">
        <v>1.082207532884134E-2</v>
      </c>
      <c r="AZ34">
        <v>1.7557167412716328E-2</v>
      </c>
      <c r="BA34">
        <v>6.7555993817877587E-3</v>
      </c>
      <c r="BB34">
        <v>8.7888373553145511E-3</v>
      </c>
      <c r="BC34">
        <v>4.0664759470535831E-3</v>
      </c>
      <c r="BD34">
        <v>4.0664759470535831E-3</v>
      </c>
    </row>
    <row r="35" spans="7:56" x14ac:dyDescent="0.2">
      <c r="G35">
        <v>5</v>
      </c>
      <c r="H35">
        <v>3.5792006180799998</v>
      </c>
      <c r="I35">
        <v>3.5792006180799998</v>
      </c>
      <c r="J35">
        <v>-3.5792006180799998</v>
      </c>
      <c r="K35">
        <v>7.1584012361599996</v>
      </c>
      <c r="L35">
        <v>10.737601854239999</v>
      </c>
      <c r="M35">
        <v>10.737601854239999</v>
      </c>
      <c r="N35">
        <v>21.475203708479999</v>
      </c>
      <c r="O35">
        <v>3.5792006180799998</v>
      </c>
      <c r="P35">
        <v>7.1584012361599996</v>
      </c>
      <c r="Q35">
        <v>3.5792006180799998</v>
      </c>
      <c r="R35">
        <v>3.5792006180799998</v>
      </c>
      <c r="T35">
        <v>9.3442570235713838</v>
      </c>
      <c r="U35">
        <v>5.8852231802765527</v>
      </c>
      <c r="V35">
        <v>9.3442570235713838</v>
      </c>
      <c r="W35">
        <v>9.3442570235713838</v>
      </c>
      <c r="X35">
        <v>9.3442570235713838</v>
      </c>
      <c r="Y35">
        <v>9.3608023050249383</v>
      </c>
      <c r="Z35">
        <v>11.63383842540973</v>
      </c>
      <c r="AA35">
        <v>9.3608023050249383</v>
      </c>
      <c r="AB35">
        <v>9.3608023050249383</v>
      </c>
      <c r="AC35">
        <v>3.5792006180799998</v>
      </c>
      <c r="AD35">
        <v>3.5792006180799998</v>
      </c>
      <c r="AF35">
        <v>5</v>
      </c>
      <c r="AG35">
        <v>12.92345764165138</v>
      </c>
      <c r="AH35">
        <v>9.4644237983565525</v>
      </c>
      <c r="AI35">
        <v>5.765056405491384</v>
      </c>
      <c r="AJ35">
        <v>16.50265825973138</v>
      </c>
      <c r="AK35">
        <v>20.081858877811381</v>
      </c>
      <c r="AL35">
        <v>20.098404159264941</v>
      </c>
      <c r="AM35">
        <v>33.10904213388973</v>
      </c>
      <c r="AN35">
        <v>12.94000292310494</v>
      </c>
      <c r="AO35">
        <v>16.51920354118494</v>
      </c>
      <c r="AP35">
        <v>7.1584012361599996</v>
      </c>
      <c r="AQ35">
        <v>7.1584012361599996</v>
      </c>
      <c r="AR35">
        <v>42.573465932246279</v>
      </c>
      <c r="AT35">
        <v>4.1341202506598979E-2</v>
      </c>
      <c r="AU35">
        <v>3.0276004433604169E-2</v>
      </c>
      <c r="AV35">
        <v>1.8441996788324689E-2</v>
      </c>
      <c r="AW35">
        <v>5.2790805365736132E-2</v>
      </c>
      <c r="AX35">
        <v>6.4240408224873286E-2</v>
      </c>
      <c r="AY35">
        <v>6.4293335378740796E-2</v>
      </c>
      <c r="AZ35">
        <v>0.1059134214395699</v>
      </c>
      <c r="BA35">
        <v>4.1394129660466503E-2</v>
      </c>
      <c r="BB35">
        <v>5.2843732519603642E-2</v>
      </c>
      <c r="BC35">
        <v>2.28992057182743E-2</v>
      </c>
      <c r="BD35">
        <v>2.28992057182743E-2</v>
      </c>
    </row>
    <row r="36" spans="7:56" x14ac:dyDescent="0.2">
      <c r="G36">
        <v>6</v>
      </c>
      <c r="H36">
        <v>1.22080043884</v>
      </c>
      <c r="I36">
        <v>1.22080043884</v>
      </c>
      <c r="J36">
        <v>-1.22080043884</v>
      </c>
      <c r="K36">
        <v>2.44160087768</v>
      </c>
      <c r="L36">
        <v>3.66240131652</v>
      </c>
      <c r="M36">
        <v>3.66240131652</v>
      </c>
      <c r="N36">
        <v>7.32480263304</v>
      </c>
      <c r="O36">
        <v>1.22080043884</v>
      </c>
      <c r="P36">
        <v>2.44160087768</v>
      </c>
      <c r="Q36">
        <v>1.22080043884</v>
      </c>
      <c r="R36">
        <v>1.22080043884</v>
      </c>
      <c r="T36">
        <v>4.2566400768448229</v>
      </c>
      <c r="U36">
        <v>2.435136294041929</v>
      </c>
      <c r="V36">
        <v>4.2566400768448229</v>
      </c>
      <c r="W36">
        <v>4.2566400768448229</v>
      </c>
      <c r="X36">
        <v>4.2566400768448229</v>
      </c>
      <c r="Y36">
        <v>4.2569024889795282</v>
      </c>
      <c r="Z36">
        <v>5.3906044029569813</v>
      </c>
      <c r="AA36">
        <v>4.2569024889795282</v>
      </c>
      <c r="AB36">
        <v>4.2569024889795282</v>
      </c>
      <c r="AC36">
        <v>1.22080043884</v>
      </c>
      <c r="AD36">
        <v>1.22080043884</v>
      </c>
      <c r="AF36">
        <v>6</v>
      </c>
      <c r="AG36">
        <v>5.4774405156848216</v>
      </c>
      <c r="AH36">
        <v>3.655936732881929</v>
      </c>
      <c r="AI36">
        <v>3.0358396380048229</v>
      </c>
      <c r="AJ36">
        <v>6.6982409545248229</v>
      </c>
      <c r="AK36">
        <v>7.9190413933648234</v>
      </c>
      <c r="AL36">
        <v>7.9193038054995277</v>
      </c>
      <c r="AM36">
        <v>12.71540703599698</v>
      </c>
      <c r="AN36">
        <v>5.4777029278195286</v>
      </c>
      <c r="AO36">
        <v>6.6985033666595282</v>
      </c>
      <c r="AP36">
        <v>2.44160087768</v>
      </c>
      <c r="AQ36">
        <v>2.44160087768</v>
      </c>
      <c r="AR36">
        <v>16.371343768878909</v>
      </c>
      <c r="AT36">
        <v>1.752193444322233E-2</v>
      </c>
      <c r="AU36">
        <v>1.169507611788579E-2</v>
      </c>
      <c r="AV36">
        <v>9.7114305422275702E-3</v>
      </c>
      <c r="AW36">
        <v>2.142718639371971E-2</v>
      </c>
      <c r="AX36">
        <v>2.5332438344217091E-2</v>
      </c>
      <c r="AY36">
        <v>2.5333277781579899E-2</v>
      </c>
      <c r="AZ36">
        <v>4.0675663727545101E-2</v>
      </c>
      <c r="BA36">
        <v>1.7522773880585141E-2</v>
      </c>
      <c r="BB36">
        <v>2.1428025831082519E-2</v>
      </c>
      <c r="BC36">
        <v>7.8105039009947613E-3</v>
      </c>
      <c r="BD36">
        <v>7.8105039009947613E-3</v>
      </c>
    </row>
    <row r="37" spans="7:56" x14ac:dyDescent="0.2">
      <c r="G37">
        <v>7</v>
      </c>
      <c r="H37">
        <v>0.83680027152000014</v>
      </c>
      <c r="I37">
        <v>0.83680027152000014</v>
      </c>
      <c r="J37">
        <v>-0.83680027152000014</v>
      </c>
      <c r="K37">
        <v>1.6736005430400001</v>
      </c>
      <c r="L37">
        <v>2.510400814560001</v>
      </c>
      <c r="M37">
        <v>2.510400814560001</v>
      </c>
      <c r="N37">
        <v>5.0208016291200011</v>
      </c>
      <c r="O37">
        <v>0.83680027152000014</v>
      </c>
      <c r="P37">
        <v>1.6736005430400001</v>
      </c>
      <c r="Q37">
        <v>0.83680027152000014</v>
      </c>
      <c r="R37">
        <v>0.83680027152000014</v>
      </c>
      <c r="T37">
        <v>3.0706972633226881</v>
      </c>
      <c r="U37">
        <v>1.730359068241075</v>
      </c>
      <c r="V37">
        <v>3.0706972633226881</v>
      </c>
      <c r="W37">
        <v>3.0706972633226881</v>
      </c>
      <c r="X37">
        <v>3.0706972633226881</v>
      </c>
      <c r="Y37">
        <v>3.070697157440744</v>
      </c>
      <c r="Z37">
        <v>3.9296255288383728</v>
      </c>
      <c r="AA37">
        <v>3.070697157440744</v>
      </c>
      <c r="AB37">
        <v>3.070697157440744</v>
      </c>
      <c r="AC37">
        <v>0.83680027152000014</v>
      </c>
      <c r="AD37">
        <v>0.83680027152000014</v>
      </c>
      <c r="AF37">
        <v>7</v>
      </c>
      <c r="AG37">
        <v>3.9074975348426881</v>
      </c>
      <c r="AH37">
        <v>2.567159339761075</v>
      </c>
      <c r="AI37">
        <v>2.2338969918026881</v>
      </c>
      <c r="AJ37">
        <v>4.7442978063626882</v>
      </c>
      <c r="AK37">
        <v>5.5810980778826877</v>
      </c>
      <c r="AL37">
        <v>5.5810979720007454</v>
      </c>
      <c r="AM37">
        <v>8.950427157958373</v>
      </c>
      <c r="AN37">
        <v>3.907497428960744</v>
      </c>
      <c r="AO37">
        <v>4.744297700480745</v>
      </c>
      <c r="AP37">
        <v>1.6736005430400001</v>
      </c>
      <c r="AQ37">
        <v>1.6736005430400001</v>
      </c>
      <c r="AR37">
        <v>11.517586497719449</v>
      </c>
      <c r="AT37">
        <v>1.2499800855255171E-2</v>
      </c>
      <c r="AU37">
        <v>8.2121563032575631E-3</v>
      </c>
      <c r="AV37">
        <v>7.1460742533293346E-3</v>
      </c>
      <c r="AW37">
        <v>1.517666415621808E-2</v>
      </c>
      <c r="AX37">
        <v>1.7853527457180999E-2</v>
      </c>
      <c r="AY37">
        <v>1.7853527118472351E-2</v>
      </c>
      <c r="AZ37">
        <v>2.8631766506911249E-2</v>
      </c>
      <c r="BA37">
        <v>1.2499800516546519E-2</v>
      </c>
      <c r="BB37">
        <v>1.517666381750943E-2</v>
      </c>
      <c r="BC37">
        <v>5.3537266019258309E-3</v>
      </c>
      <c r="BD37">
        <v>5.3537266019258309E-3</v>
      </c>
    </row>
    <row r="38" spans="7:56" x14ac:dyDescent="0.2">
      <c r="G38">
        <v>8</v>
      </c>
      <c r="H38">
        <v>0.22639961214000001</v>
      </c>
      <c r="I38">
        <v>0.22639961214000001</v>
      </c>
      <c r="J38">
        <v>-0.22639961214000001</v>
      </c>
      <c r="K38">
        <v>0.45279922427999991</v>
      </c>
      <c r="L38">
        <v>0.6791988364199999</v>
      </c>
      <c r="M38">
        <v>0.6791988364199999</v>
      </c>
      <c r="N38">
        <v>1.35839767284</v>
      </c>
      <c r="O38">
        <v>0.22639961214000001</v>
      </c>
      <c r="P38">
        <v>0.45279922427999991</v>
      </c>
      <c r="Q38">
        <v>0.22639961214000001</v>
      </c>
      <c r="R38">
        <v>0.22639961214000001</v>
      </c>
      <c r="T38">
        <v>0.70066071908938254</v>
      </c>
      <c r="U38">
        <v>0.41610405491975289</v>
      </c>
      <c r="V38">
        <v>0.70066071908938254</v>
      </c>
      <c r="W38">
        <v>0.70066071908938254</v>
      </c>
      <c r="X38">
        <v>0.70066071908938254</v>
      </c>
      <c r="Y38">
        <v>0.7021781801170156</v>
      </c>
      <c r="Z38">
        <v>0.89458778098267078</v>
      </c>
      <c r="AA38">
        <v>0.7021781801170156</v>
      </c>
      <c r="AB38">
        <v>0.7021781801170156</v>
      </c>
      <c r="AC38">
        <v>0.22639961214000001</v>
      </c>
      <c r="AD38">
        <v>0.22639961214000001</v>
      </c>
      <c r="AF38">
        <v>8</v>
      </c>
      <c r="AG38">
        <v>0.92706033122938247</v>
      </c>
      <c r="AH38">
        <v>0.64250366705975281</v>
      </c>
      <c r="AI38">
        <v>0.47426110694938262</v>
      </c>
      <c r="AJ38">
        <v>1.153459943369382</v>
      </c>
      <c r="AK38">
        <v>1.379859555509382</v>
      </c>
      <c r="AL38">
        <v>1.3813770165370149</v>
      </c>
      <c r="AM38">
        <v>2.2529854538226708</v>
      </c>
      <c r="AN38">
        <v>0.92857779225701553</v>
      </c>
      <c r="AO38">
        <v>1.154977404397016</v>
      </c>
      <c r="AP38">
        <v>0.45279922427999991</v>
      </c>
      <c r="AQ38">
        <v>0.45279922427999991</v>
      </c>
      <c r="AR38">
        <v>2.8954891208824241</v>
      </c>
      <c r="AT38">
        <v>2.965598677374648E-3</v>
      </c>
      <c r="AU38">
        <v>2.0553225729268202E-3</v>
      </c>
      <c r="AV38">
        <v>1.51712684074638E-3</v>
      </c>
      <c r="AW38">
        <v>3.6898345956887821E-3</v>
      </c>
      <c r="AX38">
        <v>4.4140705140029157E-3</v>
      </c>
      <c r="AY38">
        <v>4.4189247616337564E-3</v>
      </c>
      <c r="AZ38">
        <v>7.207136857145538E-3</v>
      </c>
      <c r="BA38">
        <v>2.9704529250054882E-3</v>
      </c>
      <c r="BB38">
        <v>3.6946888433196218E-3</v>
      </c>
      <c r="BC38">
        <v>1.448471836628268E-3</v>
      </c>
      <c r="BD38">
        <v>1.448471836628268E-3</v>
      </c>
    </row>
    <row r="39" spans="7:56" x14ac:dyDescent="0.2">
      <c r="G39">
        <v>9</v>
      </c>
      <c r="H39">
        <v>3.17400053751</v>
      </c>
      <c r="I39">
        <v>3.17400053751</v>
      </c>
      <c r="J39">
        <v>-3.17400053751</v>
      </c>
      <c r="K39">
        <v>6.34800107502</v>
      </c>
      <c r="L39">
        <v>9.5220016125299995</v>
      </c>
      <c r="M39">
        <v>9.5220016125299995</v>
      </c>
      <c r="N39">
        <v>19.044003225059999</v>
      </c>
      <c r="O39">
        <v>3.17400053751</v>
      </c>
      <c r="P39">
        <v>6.34800107502</v>
      </c>
      <c r="Q39">
        <v>3.17400053751</v>
      </c>
      <c r="R39">
        <v>3.17400053751</v>
      </c>
      <c r="T39">
        <v>7.3798611941140688</v>
      </c>
      <c r="U39">
        <v>4.8563448001516267</v>
      </c>
      <c r="V39">
        <v>7.3798611941140688</v>
      </c>
      <c r="W39">
        <v>7.3798611941140688</v>
      </c>
      <c r="X39">
        <v>7.3798611941140688</v>
      </c>
      <c r="Y39">
        <v>7.4272908903799797</v>
      </c>
      <c r="Z39">
        <v>8.8293145469354624</v>
      </c>
      <c r="AA39">
        <v>7.4272908903799797</v>
      </c>
      <c r="AB39">
        <v>7.4272908903799797</v>
      </c>
      <c r="AC39">
        <v>3.17400053751</v>
      </c>
      <c r="AD39">
        <v>3.17400053751</v>
      </c>
      <c r="AF39">
        <v>9</v>
      </c>
      <c r="AG39">
        <v>10.553861731624069</v>
      </c>
      <c r="AH39">
        <v>8.0303453376616272</v>
      </c>
      <c r="AI39">
        <v>4.2058606566040684</v>
      </c>
      <c r="AJ39">
        <v>13.72786226913407</v>
      </c>
      <c r="AK39">
        <v>16.901862806644068</v>
      </c>
      <c r="AL39">
        <v>16.94929250290998</v>
      </c>
      <c r="AM39">
        <v>27.87331777199546</v>
      </c>
      <c r="AN39">
        <v>10.601291427889979</v>
      </c>
      <c r="AO39">
        <v>13.77529196539998</v>
      </c>
      <c r="AP39">
        <v>6.34800107502</v>
      </c>
      <c r="AQ39">
        <v>6.34800107502</v>
      </c>
      <c r="AR39">
        <v>35.903663109657089</v>
      </c>
      <c r="AT39">
        <v>3.376103726819378E-2</v>
      </c>
      <c r="AU39">
        <v>2.568849157923736E-2</v>
      </c>
      <c r="AV39">
        <v>1.3454242814927349E-2</v>
      </c>
      <c r="AW39">
        <v>4.3914434494826987E-2</v>
      </c>
      <c r="AX39">
        <v>5.4067831721460187E-2</v>
      </c>
      <c r="AY39">
        <v>5.4219555875516003E-2</v>
      </c>
      <c r="AZ39">
        <v>8.9164719419129346E-2</v>
      </c>
      <c r="BA39">
        <v>3.3912761422249582E-2</v>
      </c>
      <c r="BB39">
        <v>4.4066158648882789E-2</v>
      </c>
      <c r="BC39">
        <v>2.030679445326642E-2</v>
      </c>
      <c r="BD39">
        <v>2.030679445326642E-2</v>
      </c>
    </row>
    <row r="40" spans="7:56" x14ac:dyDescent="0.2">
      <c r="G40">
        <v>10</v>
      </c>
      <c r="H40">
        <v>0.54400012722000002</v>
      </c>
      <c r="I40">
        <v>0.54400012722000002</v>
      </c>
      <c r="J40">
        <v>-0.54400012722000002</v>
      </c>
      <c r="K40">
        <v>1.08800025444</v>
      </c>
      <c r="L40">
        <v>1.6320003816599999</v>
      </c>
      <c r="M40">
        <v>1.6320003816599999</v>
      </c>
      <c r="N40">
        <v>3.2640007633199999</v>
      </c>
      <c r="O40">
        <v>0.54400012722000002</v>
      </c>
      <c r="P40">
        <v>1.08800025444</v>
      </c>
      <c r="Q40">
        <v>0.54400012722000002</v>
      </c>
      <c r="R40">
        <v>0.54400012722000002</v>
      </c>
      <c r="T40">
        <v>1.1180711769226519</v>
      </c>
      <c r="U40">
        <v>0.77362854710106077</v>
      </c>
      <c r="V40">
        <v>1.1180711769226519</v>
      </c>
      <c r="W40">
        <v>1.1180711769226519</v>
      </c>
      <c r="X40">
        <v>1.1180711769226519</v>
      </c>
      <c r="Y40">
        <v>1.1229364037427609</v>
      </c>
      <c r="Z40">
        <v>1.292419110848769</v>
      </c>
      <c r="AA40">
        <v>1.1229364037427609</v>
      </c>
      <c r="AB40">
        <v>1.1229364037427609</v>
      </c>
      <c r="AC40">
        <v>0.54400012722000002</v>
      </c>
      <c r="AD40">
        <v>0.54400012722000002</v>
      </c>
      <c r="AF40">
        <v>10</v>
      </c>
      <c r="AG40">
        <v>1.662071304142652</v>
      </c>
      <c r="AH40">
        <v>1.317628674321061</v>
      </c>
      <c r="AI40">
        <v>0.57407104970265233</v>
      </c>
      <c r="AJ40">
        <v>2.2060714313626519</v>
      </c>
      <c r="AK40">
        <v>2.7500715585826518</v>
      </c>
      <c r="AL40">
        <v>2.7549367854027609</v>
      </c>
      <c r="AM40">
        <v>4.5564198741687694</v>
      </c>
      <c r="AN40">
        <v>1.666936530962762</v>
      </c>
      <c r="AO40">
        <v>2.210936658182761</v>
      </c>
      <c r="AP40">
        <v>1.08800025444</v>
      </c>
      <c r="AQ40">
        <v>1.08800025444</v>
      </c>
      <c r="AR40">
        <v>5.8740485484898297</v>
      </c>
      <c r="AT40">
        <v>5.3168454039354369E-3</v>
      </c>
      <c r="AU40">
        <v>4.2149984442281154E-3</v>
      </c>
      <c r="AV40">
        <v>1.836411599512201E-3</v>
      </c>
      <c r="AW40">
        <v>7.0570623061470541E-3</v>
      </c>
      <c r="AX40">
        <v>8.7972792083586722E-3</v>
      </c>
      <c r="AY40">
        <v>8.8128427156481167E-3</v>
      </c>
      <c r="AZ40">
        <v>1.457565629464417E-2</v>
      </c>
      <c r="BA40">
        <v>5.3324089112248814E-3</v>
      </c>
      <c r="BB40">
        <v>7.0726258134364986E-3</v>
      </c>
      <c r="BC40">
        <v>3.4804338044232348E-3</v>
      </c>
      <c r="BD40">
        <v>3.4804338044232348E-3</v>
      </c>
    </row>
    <row r="41" spans="7:56" x14ac:dyDescent="0.2">
      <c r="G41">
        <v>11</v>
      </c>
      <c r="H41">
        <v>3.9199390610000003E-2</v>
      </c>
      <c r="I41">
        <v>3.9199390610000003E-2</v>
      </c>
      <c r="J41">
        <v>-3.9199390610000003E-2</v>
      </c>
      <c r="K41">
        <v>7.8398781220000005E-2</v>
      </c>
      <c r="L41">
        <v>0.11759817183</v>
      </c>
      <c r="M41">
        <v>0.11759817183</v>
      </c>
      <c r="N41">
        <v>0.23519634366</v>
      </c>
      <c r="O41">
        <v>3.9199390610000003E-2</v>
      </c>
      <c r="P41">
        <v>7.8398781220000005E-2</v>
      </c>
      <c r="Q41">
        <v>3.9199390610000003E-2</v>
      </c>
      <c r="R41">
        <v>3.9199390610000003E-2</v>
      </c>
      <c r="T41">
        <v>6.3030483613827654E-2</v>
      </c>
      <c r="U41">
        <v>4.8731827811531063E-2</v>
      </c>
      <c r="V41">
        <v>6.3030483613827654E-2</v>
      </c>
      <c r="W41">
        <v>6.3030483613827654E-2</v>
      </c>
      <c r="X41">
        <v>6.3030483613827654E-2</v>
      </c>
      <c r="Y41">
        <v>6.3045642455889603E-2</v>
      </c>
      <c r="Z41">
        <v>6.3557435867189246E-2</v>
      </c>
      <c r="AA41">
        <v>6.3045642455889603E-2</v>
      </c>
      <c r="AB41">
        <v>6.3045642455889603E-2</v>
      </c>
      <c r="AC41">
        <v>3.9199390610000003E-2</v>
      </c>
      <c r="AD41">
        <v>3.9199390610000003E-2</v>
      </c>
      <c r="AF41">
        <v>11</v>
      </c>
      <c r="AG41">
        <v>0.10222987422382759</v>
      </c>
      <c r="AH41">
        <v>8.7931218421531065E-2</v>
      </c>
      <c r="AI41">
        <v>2.3831093003827651E-2</v>
      </c>
      <c r="AJ41">
        <v>0.1414292648338277</v>
      </c>
      <c r="AK41">
        <v>0.1806286554438277</v>
      </c>
      <c r="AL41">
        <v>0.1806438142858896</v>
      </c>
      <c r="AM41">
        <v>0.29875377952718929</v>
      </c>
      <c r="AN41">
        <v>0.1022450330658896</v>
      </c>
      <c r="AO41">
        <v>0.14144442367588961</v>
      </c>
      <c r="AP41">
        <v>7.8398781220000005E-2</v>
      </c>
      <c r="AQ41">
        <v>7.8398781220000005E-2</v>
      </c>
      <c r="AR41">
        <v>0.38668499794872041</v>
      </c>
      <c r="AT41">
        <v>3.2702594380704428E-4</v>
      </c>
      <c r="AU41">
        <v>2.8128558225010689E-4</v>
      </c>
      <c r="AV41">
        <v>7.6233935928229002E-5</v>
      </c>
      <c r="AW41">
        <v>4.5242194774645201E-4</v>
      </c>
      <c r="AX41">
        <v>5.7781795168585957E-4</v>
      </c>
      <c r="AY41">
        <v>5.7786644372079525E-4</v>
      </c>
      <c r="AZ41">
        <v>9.5569164549582134E-4</v>
      </c>
      <c r="BA41">
        <v>3.2707443584198003E-4</v>
      </c>
      <c r="BB41">
        <v>4.5247043978138759E-4</v>
      </c>
      <c r="BC41">
        <v>2.5079200787881528E-4</v>
      </c>
      <c r="BD41">
        <v>2.5079200787881528E-4</v>
      </c>
    </row>
    <row r="42" spans="7:56" x14ac:dyDescent="0.2">
      <c r="G42">
        <v>12</v>
      </c>
      <c r="H42">
        <v>2.98680043347</v>
      </c>
      <c r="I42">
        <v>2.98680043347</v>
      </c>
      <c r="J42">
        <v>-2.98680043347</v>
      </c>
      <c r="K42">
        <v>5.9736008669400009</v>
      </c>
      <c r="L42">
        <v>8.9604013004100018</v>
      </c>
      <c r="M42">
        <v>8.9604013004100018</v>
      </c>
      <c r="N42">
        <v>17.92080260082</v>
      </c>
      <c r="O42">
        <v>2.98680043347</v>
      </c>
      <c r="P42">
        <v>5.9736008669400009</v>
      </c>
      <c r="Q42">
        <v>2.98680043347</v>
      </c>
      <c r="R42">
        <v>2.98680043347</v>
      </c>
      <c r="T42">
        <v>6.2184951991106407</v>
      </c>
      <c r="U42">
        <v>4.2794783397262561</v>
      </c>
      <c r="V42">
        <v>6.2184951991106407</v>
      </c>
      <c r="W42">
        <v>6.2184951991106407</v>
      </c>
      <c r="X42">
        <v>6.2184951991106407</v>
      </c>
      <c r="Y42">
        <v>6.218761985663769</v>
      </c>
      <c r="Z42">
        <v>6.7487610370201789</v>
      </c>
      <c r="AA42">
        <v>6.218761985663769</v>
      </c>
      <c r="AB42">
        <v>6.218761985663769</v>
      </c>
      <c r="AC42">
        <v>2.98680043347</v>
      </c>
      <c r="AD42">
        <v>2.98680043347</v>
      </c>
      <c r="AF42">
        <v>12</v>
      </c>
      <c r="AG42">
        <v>9.2052956325806417</v>
      </c>
      <c r="AH42">
        <v>7.266278773196257</v>
      </c>
      <c r="AI42">
        <v>3.2316947656406398</v>
      </c>
      <c r="AJ42">
        <v>12.19209606605064</v>
      </c>
      <c r="AK42">
        <v>15.17889649952064</v>
      </c>
      <c r="AL42">
        <v>15.17916328607377</v>
      </c>
      <c r="AM42">
        <v>24.669563637840181</v>
      </c>
      <c r="AN42">
        <v>9.2055624191337699</v>
      </c>
      <c r="AO42">
        <v>12.19236285260377</v>
      </c>
      <c r="AP42">
        <v>5.9736008669400009</v>
      </c>
      <c r="AQ42">
        <v>5.9736008669400009</v>
      </c>
      <c r="AR42">
        <v>31.93584241103644</v>
      </c>
      <c r="AT42">
        <v>2.9447072248924792E-2</v>
      </c>
      <c r="AU42">
        <v>2.3244298125290469E-2</v>
      </c>
      <c r="AV42">
        <v>1.0337956872723861E-2</v>
      </c>
      <c r="AW42">
        <v>3.9001629937025252E-2</v>
      </c>
      <c r="AX42">
        <v>4.8556187625125723E-2</v>
      </c>
      <c r="AY42">
        <v>4.855704105593539E-2</v>
      </c>
      <c r="AZ42">
        <v>7.8916142597505415E-2</v>
      </c>
      <c r="BA42">
        <v>2.944792567973447E-2</v>
      </c>
      <c r="BB42">
        <v>3.9002483367834927E-2</v>
      </c>
      <c r="BC42">
        <v>1.9109115376200931E-2</v>
      </c>
      <c r="BD42">
        <v>1.9109115376200931E-2</v>
      </c>
    </row>
    <row r="43" spans="7:56" x14ac:dyDescent="0.2">
      <c r="G43">
        <v>13</v>
      </c>
      <c r="H43">
        <v>9.800026822000002E-2</v>
      </c>
      <c r="I43">
        <v>9.800026822000002E-2</v>
      </c>
      <c r="J43">
        <v>-9.800026822000002E-2</v>
      </c>
      <c r="K43">
        <v>0.19600053644000001</v>
      </c>
      <c r="L43">
        <v>0.29400080466000011</v>
      </c>
      <c r="M43">
        <v>0.29400080466000011</v>
      </c>
      <c r="N43">
        <v>0.58800160932000012</v>
      </c>
      <c r="O43">
        <v>9.800026822000002E-2</v>
      </c>
      <c r="P43">
        <v>0.19600053644000001</v>
      </c>
      <c r="Q43">
        <v>9.800026822000002E-2</v>
      </c>
      <c r="R43">
        <v>9.800026822000002E-2</v>
      </c>
      <c r="T43">
        <v>0.24789825594855139</v>
      </c>
      <c r="U43">
        <v>0.15795946331142061</v>
      </c>
      <c r="V43">
        <v>0.24789825594855139</v>
      </c>
      <c r="W43">
        <v>0.24789825594855139</v>
      </c>
      <c r="X43">
        <v>0.24789825594855139</v>
      </c>
      <c r="Y43">
        <v>0.2478982587313702</v>
      </c>
      <c r="Z43">
        <v>0.27762551304973659</v>
      </c>
      <c r="AA43">
        <v>0.2478982587313702</v>
      </c>
      <c r="AB43">
        <v>0.2478982587313702</v>
      </c>
      <c r="AC43">
        <v>9.800026822000002E-2</v>
      </c>
      <c r="AD43">
        <v>9.800026822000002E-2</v>
      </c>
      <c r="AF43">
        <v>13</v>
      </c>
      <c r="AG43">
        <v>0.34589852416855138</v>
      </c>
      <c r="AH43">
        <v>0.2559597315314206</v>
      </c>
      <c r="AI43">
        <v>0.14989798772855131</v>
      </c>
      <c r="AJ43">
        <v>0.4438987923885514</v>
      </c>
      <c r="AK43">
        <v>0.54189906060855142</v>
      </c>
      <c r="AL43">
        <v>0.54189906339137028</v>
      </c>
      <c r="AM43">
        <v>0.86562712236973671</v>
      </c>
      <c r="AN43">
        <v>0.34589852695137019</v>
      </c>
      <c r="AO43">
        <v>0.44389879517137032</v>
      </c>
      <c r="AP43">
        <v>0.19600053644000001</v>
      </c>
      <c r="AQ43">
        <v>0.19600053644000001</v>
      </c>
      <c r="AR43">
        <v>1.1215868539011571</v>
      </c>
      <c r="AT43">
        <v>1.106504259997601E-3</v>
      </c>
      <c r="AU43">
        <v>8.1879659361989597E-4</v>
      </c>
      <c r="AV43">
        <v>4.7951277729617488E-4</v>
      </c>
      <c r="AW43">
        <v>1.4200000013483141E-3</v>
      </c>
      <c r="AX43">
        <v>1.7334957426990271E-3</v>
      </c>
      <c r="AY43">
        <v>1.733495751601062E-3</v>
      </c>
      <c r="AZ43">
        <v>2.769078303453085E-3</v>
      </c>
      <c r="BA43">
        <v>1.106504268899636E-3</v>
      </c>
      <c r="BB43">
        <v>1.420000010250349E-3</v>
      </c>
      <c r="BC43">
        <v>6.2699148270142595E-4</v>
      </c>
      <c r="BD43">
        <v>6.2699148270142595E-4</v>
      </c>
    </row>
    <row r="44" spans="7:56" x14ac:dyDescent="0.2">
      <c r="G44">
        <v>14</v>
      </c>
      <c r="H44">
        <v>2.80319992066</v>
      </c>
      <c r="I44">
        <v>2.80319992066</v>
      </c>
      <c r="J44">
        <v>-2.80319992066</v>
      </c>
      <c r="K44">
        <v>5.60639984132</v>
      </c>
      <c r="L44">
        <v>8.4095997619800009</v>
      </c>
      <c r="M44">
        <v>8.4095997619800009</v>
      </c>
      <c r="N44">
        <v>16.819199523959998</v>
      </c>
      <c r="O44">
        <v>2.80319992066</v>
      </c>
      <c r="P44">
        <v>5.60639984132</v>
      </c>
      <c r="Q44">
        <v>2.80319992066</v>
      </c>
      <c r="R44">
        <v>2.80319992066</v>
      </c>
      <c r="T44">
        <v>6.4428715833672943</v>
      </c>
      <c r="U44">
        <v>4.2590685857429174</v>
      </c>
      <c r="V44">
        <v>6.4428715833672943</v>
      </c>
      <c r="W44">
        <v>6.4428715833672943</v>
      </c>
      <c r="X44">
        <v>6.4428715833672943</v>
      </c>
      <c r="Y44">
        <v>6.4428715593101202</v>
      </c>
      <c r="Z44">
        <v>6.7119279544628112</v>
      </c>
      <c r="AA44">
        <v>6.4428715593101202</v>
      </c>
      <c r="AB44">
        <v>6.4428715593101202</v>
      </c>
      <c r="AC44">
        <v>2.80319992066</v>
      </c>
      <c r="AD44">
        <v>2.80319992066</v>
      </c>
      <c r="AF44">
        <v>14</v>
      </c>
      <c r="AG44">
        <v>9.2460715040272952</v>
      </c>
      <c r="AH44">
        <v>7.0622685064029174</v>
      </c>
      <c r="AI44">
        <v>3.6396716627072938</v>
      </c>
      <c r="AJ44">
        <v>12.049271424687291</v>
      </c>
      <c r="AK44">
        <v>14.852471345347301</v>
      </c>
      <c r="AL44">
        <v>14.852471321290119</v>
      </c>
      <c r="AM44">
        <v>23.53112747842281</v>
      </c>
      <c r="AN44">
        <v>9.2460714799701194</v>
      </c>
      <c r="AO44">
        <v>12.04927140063012</v>
      </c>
      <c r="AP44">
        <v>5.60639984132</v>
      </c>
      <c r="AQ44">
        <v>5.60639984132</v>
      </c>
      <c r="AR44">
        <v>30.59339598482573</v>
      </c>
      <c r="AT44">
        <v>2.9577511300578129E-2</v>
      </c>
      <c r="AU44">
        <v>2.2591684096847611E-2</v>
      </c>
      <c r="AV44">
        <v>1.1643045339550861E-2</v>
      </c>
      <c r="AW44">
        <v>3.8544744281091767E-2</v>
      </c>
      <c r="AX44">
        <v>4.7511977261605401E-2</v>
      </c>
      <c r="AY44">
        <v>4.7511977184648252E-2</v>
      </c>
      <c r="AZ44">
        <v>7.5274367995666405E-2</v>
      </c>
      <c r="BA44">
        <v>2.957751122362097E-2</v>
      </c>
      <c r="BB44">
        <v>3.8544744204134611E-2</v>
      </c>
      <c r="BC44">
        <v>1.7934465961027268E-2</v>
      </c>
      <c r="BD44">
        <v>1.7934465961027268E-2</v>
      </c>
    </row>
    <row r="45" spans="7:56" x14ac:dyDescent="0.2">
      <c r="G45">
        <v>15</v>
      </c>
      <c r="H45">
        <v>1.616800008465</v>
      </c>
      <c r="I45">
        <v>1.616800008465</v>
      </c>
      <c r="J45">
        <v>-1.616800008465</v>
      </c>
      <c r="K45">
        <v>3.2336000169300001</v>
      </c>
      <c r="L45">
        <v>4.8504000253950004</v>
      </c>
      <c r="M45">
        <v>4.8504000253950004</v>
      </c>
      <c r="N45">
        <v>9.7008000507900007</v>
      </c>
      <c r="O45">
        <v>1.616800008465</v>
      </c>
      <c r="P45">
        <v>3.2336000169300001</v>
      </c>
      <c r="Q45">
        <v>1.616800008465</v>
      </c>
      <c r="R45">
        <v>1.616800008465</v>
      </c>
      <c r="T45">
        <v>3.4950223532160769</v>
      </c>
      <c r="U45">
        <v>2.3680889463654311</v>
      </c>
      <c r="V45">
        <v>3.4950223532160769</v>
      </c>
      <c r="W45">
        <v>3.4950223532160769</v>
      </c>
      <c r="X45">
        <v>3.4950223532160769</v>
      </c>
      <c r="Y45">
        <v>3.4950224106137529</v>
      </c>
      <c r="Z45">
        <v>3.6998730568049072</v>
      </c>
      <c r="AA45">
        <v>3.4950224106137529</v>
      </c>
      <c r="AB45">
        <v>3.4950224106137529</v>
      </c>
      <c r="AC45">
        <v>1.616800008465</v>
      </c>
      <c r="AD45">
        <v>1.616800008465</v>
      </c>
      <c r="AF45">
        <v>15</v>
      </c>
      <c r="AG45">
        <v>5.1118223616810772</v>
      </c>
      <c r="AH45">
        <v>3.9848889548304309</v>
      </c>
      <c r="AI45">
        <v>1.8782223447510771</v>
      </c>
      <c r="AJ45">
        <v>6.728622370146077</v>
      </c>
      <c r="AK45">
        <v>8.3454223786110777</v>
      </c>
      <c r="AL45">
        <v>8.3454224360087537</v>
      </c>
      <c r="AM45">
        <v>13.40067310759491</v>
      </c>
      <c r="AN45">
        <v>5.1118224190787531</v>
      </c>
      <c r="AO45">
        <v>6.7286224275437529</v>
      </c>
      <c r="AP45">
        <v>3.2336000169300001</v>
      </c>
      <c r="AQ45">
        <v>3.2336000169300001</v>
      </c>
      <c r="AR45">
        <v>17.38556206242534</v>
      </c>
      <c r="AT45">
        <v>1.6352348519402461E-2</v>
      </c>
      <c r="AU45">
        <v>1.2747370387705591E-2</v>
      </c>
      <c r="AV45">
        <v>6.0082968861614539E-3</v>
      </c>
      <c r="AW45">
        <v>2.1524374336022969E-2</v>
      </c>
      <c r="AX45">
        <v>2.669640015264348E-2</v>
      </c>
      <c r="AY45">
        <v>2.6696400336254471E-2</v>
      </c>
      <c r="AZ45">
        <v>4.2867780127224919E-2</v>
      </c>
      <c r="BA45">
        <v>1.6352348703013459E-2</v>
      </c>
      <c r="BB45">
        <v>2.152437451963397E-2</v>
      </c>
      <c r="BC45">
        <v>1.034405163324101E-2</v>
      </c>
      <c r="BD45">
        <v>1.034405163324101E-2</v>
      </c>
    </row>
    <row r="46" spans="7:56" x14ac:dyDescent="0.2">
      <c r="G46">
        <v>16</v>
      </c>
      <c r="H46">
        <v>0.63239953152000006</v>
      </c>
      <c r="I46">
        <v>0.63239953152000006</v>
      </c>
      <c r="J46">
        <v>-0.63239953152000006</v>
      </c>
      <c r="K46">
        <v>1.2647990630399999</v>
      </c>
      <c r="L46">
        <v>1.8971985945600001</v>
      </c>
      <c r="M46">
        <v>1.8971985945600001</v>
      </c>
      <c r="N46">
        <v>3.794397189120001</v>
      </c>
      <c r="O46">
        <v>0.63239953152000006</v>
      </c>
      <c r="P46">
        <v>1.2647990630399999</v>
      </c>
      <c r="Q46">
        <v>0.63239953152000006</v>
      </c>
      <c r="R46">
        <v>0.63239953152000006</v>
      </c>
      <c r="T46">
        <v>1.002121180219341</v>
      </c>
      <c r="U46">
        <v>0.78028819099973645</v>
      </c>
      <c r="V46">
        <v>1.002121180219341</v>
      </c>
      <c r="W46">
        <v>1.002121180219341</v>
      </c>
      <c r="X46">
        <v>1.002121180219341</v>
      </c>
      <c r="Y46">
        <v>1.002162376117711</v>
      </c>
      <c r="Z46">
        <v>0.92082640096065138</v>
      </c>
      <c r="AA46">
        <v>1.002162376117711</v>
      </c>
      <c r="AB46">
        <v>1.002162376117711</v>
      </c>
      <c r="AC46">
        <v>0.63239953152000006</v>
      </c>
      <c r="AD46">
        <v>0.63239953152000006</v>
      </c>
      <c r="AF46">
        <v>16</v>
      </c>
      <c r="AG46">
        <v>1.634520711739341</v>
      </c>
      <c r="AH46">
        <v>1.412687722519737</v>
      </c>
      <c r="AI46">
        <v>0.36972164869934099</v>
      </c>
      <c r="AJ46">
        <v>2.2669202432593409</v>
      </c>
      <c r="AK46">
        <v>2.8993197747793409</v>
      </c>
      <c r="AL46">
        <v>2.8993609706777108</v>
      </c>
      <c r="AM46">
        <v>4.7152235900806518</v>
      </c>
      <c r="AN46">
        <v>1.63456190763771</v>
      </c>
      <c r="AO46">
        <v>2.26696143915771</v>
      </c>
      <c r="AP46">
        <v>1.2647990630399999</v>
      </c>
      <c r="AQ46">
        <v>1.2647990630399999</v>
      </c>
      <c r="AR46">
        <v>6.1279113126003883</v>
      </c>
      <c r="AT46">
        <v>5.2287130595347221E-3</v>
      </c>
      <c r="AU46">
        <v>4.519085436319176E-3</v>
      </c>
      <c r="AV46">
        <v>1.1827127053592439E-3</v>
      </c>
      <c r="AW46">
        <v>7.2517132366224629E-3</v>
      </c>
      <c r="AX46">
        <v>9.2747134137102019E-3</v>
      </c>
      <c r="AY46">
        <v>9.2748451963974802E-3</v>
      </c>
      <c r="AZ46">
        <v>1.508365784967342E-2</v>
      </c>
      <c r="BA46">
        <v>5.2288448422220003E-3</v>
      </c>
      <c r="BB46">
        <v>7.2518450193097394E-3</v>
      </c>
      <c r="BC46">
        <v>4.046000354175479E-3</v>
      </c>
      <c r="BD46">
        <v>4.046000354175479E-3</v>
      </c>
    </row>
    <row r="47" spans="7:56" x14ac:dyDescent="0.2">
      <c r="G47">
        <v>17</v>
      </c>
      <c r="H47">
        <v>1.85920015656</v>
      </c>
      <c r="I47">
        <v>1.85920015656</v>
      </c>
      <c r="J47">
        <v>-1.85920015656</v>
      </c>
      <c r="K47">
        <v>3.7184003131200001</v>
      </c>
      <c r="L47">
        <v>5.5776004696800001</v>
      </c>
      <c r="M47">
        <v>5.5776004696800001</v>
      </c>
      <c r="N47">
        <v>11.15520093936</v>
      </c>
      <c r="O47">
        <v>1.85920015656</v>
      </c>
      <c r="P47">
        <v>3.7184003131200001</v>
      </c>
      <c r="Q47">
        <v>1.85920015656</v>
      </c>
      <c r="R47">
        <v>1.85920015656</v>
      </c>
      <c r="T47">
        <v>3.7925251105010438</v>
      </c>
      <c r="U47">
        <v>2.632530138136417</v>
      </c>
      <c r="V47">
        <v>3.7925251105010438</v>
      </c>
      <c r="W47">
        <v>3.7925251105010438</v>
      </c>
      <c r="X47">
        <v>3.7925251105010438</v>
      </c>
      <c r="Y47">
        <v>3.792599971689508</v>
      </c>
      <c r="Z47">
        <v>3.2207102808733228</v>
      </c>
      <c r="AA47">
        <v>3.792599971689508</v>
      </c>
      <c r="AB47">
        <v>3.792599971689508</v>
      </c>
      <c r="AC47">
        <v>1.85920015656</v>
      </c>
      <c r="AD47">
        <v>1.85920015656</v>
      </c>
      <c r="AF47">
        <v>17</v>
      </c>
      <c r="AG47">
        <v>5.6517252670610443</v>
      </c>
      <c r="AH47">
        <v>4.491730294696417</v>
      </c>
      <c r="AI47">
        <v>1.933324953941044</v>
      </c>
      <c r="AJ47">
        <v>7.5109254236210443</v>
      </c>
      <c r="AK47">
        <v>9.3701255801810444</v>
      </c>
      <c r="AL47">
        <v>9.3702004413695086</v>
      </c>
      <c r="AM47">
        <v>14.37591122023332</v>
      </c>
      <c r="AN47">
        <v>5.6518001282495094</v>
      </c>
      <c r="AO47">
        <v>7.5110002848095094</v>
      </c>
      <c r="AP47">
        <v>3.7184003131200001</v>
      </c>
      <c r="AQ47">
        <v>3.7184003131200001</v>
      </c>
      <c r="AR47">
        <v>18.867641514929741</v>
      </c>
      <c r="AT47">
        <v>1.8079458706484121E-2</v>
      </c>
      <c r="AU47">
        <v>1.4368719027607059E-2</v>
      </c>
      <c r="AV47">
        <v>6.1845661314617606E-3</v>
      </c>
      <c r="AW47">
        <v>2.4026904993995301E-2</v>
      </c>
      <c r="AX47">
        <v>2.9974351281506481E-2</v>
      </c>
      <c r="AY47">
        <v>2.9974590757012028E-2</v>
      </c>
      <c r="AZ47">
        <v>4.5987496028702987E-2</v>
      </c>
      <c r="BA47">
        <v>1.8079698181989672E-2</v>
      </c>
      <c r="BB47">
        <v>2.4027144469500852E-2</v>
      </c>
      <c r="BC47">
        <v>1.189489257502236E-2</v>
      </c>
      <c r="BD47">
        <v>1.189489257502236E-2</v>
      </c>
    </row>
    <row r="48" spans="7:56" x14ac:dyDescent="0.2">
      <c r="G48">
        <v>18</v>
      </c>
      <c r="H48">
        <v>10.49640034562</v>
      </c>
      <c r="I48">
        <v>10.49640034562</v>
      </c>
      <c r="J48">
        <v>-10.49640034562</v>
      </c>
      <c r="K48">
        <v>20.992800691239999</v>
      </c>
      <c r="L48">
        <v>31.489201036859999</v>
      </c>
      <c r="M48">
        <v>31.489201036859999</v>
      </c>
      <c r="N48">
        <v>62.978402073719998</v>
      </c>
      <c r="O48">
        <v>10.49640034562</v>
      </c>
      <c r="P48">
        <v>20.992800691239999</v>
      </c>
      <c r="Q48">
        <v>10.49640034562</v>
      </c>
      <c r="R48">
        <v>10.49640034562</v>
      </c>
      <c r="T48">
        <v>23.857509112745241</v>
      </c>
      <c r="U48">
        <v>15.840843852470091</v>
      </c>
      <c r="V48">
        <v>23.857509112745241</v>
      </c>
      <c r="W48">
        <v>23.857509112745241</v>
      </c>
      <c r="X48">
        <v>23.857509112745241</v>
      </c>
      <c r="Y48">
        <v>23.862462423230131</v>
      </c>
      <c r="Z48">
        <v>20.193093543799421</v>
      </c>
      <c r="AA48">
        <v>23.862462423230131</v>
      </c>
      <c r="AB48">
        <v>23.862462423230131</v>
      </c>
      <c r="AC48">
        <v>10.49640034562</v>
      </c>
      <c r="AD48">
        <v>10.49640034562</v>
      </c>
      <c r="AF48">
        <v>18</v>
      </c>
      <c r="AG48">
        <v>34.353909458365237</v>
      </c>
      <c r="AH48">
        <v>26.33724419809009</v>
      </c>
      <c r="AI48">
        <v>13.36110876712524</v>
      </c>
      <c r="AJ48">
        <v>44.85030980398524</v>
      </c>
      <c r="AK48">
        <v>55.346710149605236</v>
      </c>
      <c r="AL48">
        <v>55.35166346009013</v>
      </c>
      <c r="AM48">
        <v>83.171495617519426</v>
      </c>
      <c r="AN48">
        <v>34.35886276885013</v>
      </c>
      <c r="AO48">
        <v>44.855263114470127</v>
      </c>
      <c r="AP48">
        <v>20.992800691239999</v>
      </c>
      <c r="AQ48">
        <v>20.992800691239999</v>
      </c>
      <c r="AR48">
        <v>109.5087398156095</v>
      </c>
      <c r="AT48">
        <v>0.10989566160950121</v>
      </c>
      <c r="AU48">
        <v>8.4250931604389193E-2</v>
      </c>
      <c r="AV48">
        <v>4.2741216675186752E-2</v>
      </c>
      <c r="AW48">
        <v>0.14347288407665851</v>
      </c>
      <c r="AX48">
        <v>0.17705010654381581</v>
      </c>
      <c r="AY48">
        <v>0.17706595182435231</v>
      </c>
      <c r="AZ48">
        <v>0.26605957464655827</v>
      </c>
      <c r="BA48">
        <v>0.1099115068900378</v>
      </c>
      <c r="BB48">
        <v>0.14348872935719501</v>
      </c>
      <c r="BC48">
        <v>6.7154444934314508E-2</v>
      </c>
      <c r="BD48">
        <v>6.7154444934314508E-2</v>
      </c>
    </row>
    <row r="49" spans="1:56" x14ac:dyDescent="0.2">
      <c r="G49">
        <v>19</v>
      </c>
      <c r="H49">
        <v>22.734798706399999</v>
      </c>
      <c r="I49">
        <v>22.734798706399999</v>
      </c>
      <c r="J49">
        <v>-22.734798706399999</v>
      </c>
      <c r="K49">
        <v>45.469597412799999</v>
      </c>
      <c r="L49">
        <v>68.204396119199998</v>
      </c>
      <c r="M49">
        <v>68.204396119199998</v>
      </c>
      <c r="N49">
        <v>136.4087922384</v>
      </c>
      <c r="O49">
        <v>22.734798706399999</v>
      </c>
      <c r="P49">
        <v>45.469597412799999</v>
      </c>
      <c r="Q49">
        <v>22.734798706399999</v>
      </c>
      <c r="R49">
        <v>22.734798706399999</v>
      </c>
      <c r="T49">
        <v>51.863815609369851</v>
      </c>
      <c r="U49">
        <v>34.386405467587942</v>
      </c>
      <c r="V49">
        <v>51.863815609369851</v>
      </c>
      <c r="W49">
        <v>51.863815609369851</v>
      </c>
      <c r="X49">
        <v>51.863815609369851</v>
      </c>
      <c r="Y49">
        <v>51.878892714475953</v>
      </c>
      <c r="Z49">
        <v>49.660026484686853</v>
      </c>
      <c r="AA49">
        <v>51.878892714475953</v>
      </c>
      <c r="AB49">
        <v>51.878892714475953</v>
      </c>
      <c r="AC49">
        <v>22.734798706399999</v>
      </c>
      <c r="AD49">
        <v>22.734798706399999</v>
      </c>
      <c r="AF49">
        <v>19</v>
      </c>
      <c r="AG49">
        <v>74.598614315769851</v>
      </c>
      <c r="AH49">
        <v>57.121204173987941</v>
      </c>
      <c r="AI49">
        <v>29.129016902969848</v>
      </c>
      <c r="AJ49">
        <v>97.33341302216985</v>
      </c>
      <c r="AK49">
        <v>120.06821172856981</v>
      </c>
      <c r="AL49">
        <v>120.08328883367599</v>
      </c>
      <c r="AM49">
        <v>186.06881872308679</v>
      </c>
      <c r="AN49">
        <v>74.613691420875952</v>
      </c>
      <c r="AO49">
        <v>97.348490127275952</v>
      </c>
      <c r="AP49">
        <v>45.469597412799999</v>
      </c>
      <c r="AQ49">
        <v>45.469597412799999</v>
      </c>
      <c r="AR49">
        <v>243.19002289707481</v>
      </c>
      <c r="AT49">
        <v>0.2386355499166426</v>
      </c>
      <c r="AU49">
        <v>0.1827265840657695</v>
      </c>
      <c r="AV49">
        <v>9.3181609751455244E-2</v>
      </c>
      <c r="AW49">
        <v>0.31136251999923631</v>
      </c>
      <c r="AX49">
        <v>0.38408949008183002</v>
      </c>
      <c r="AY49">
        <v>0.38413772064617963</v>
      </c>
      <c r="AZ49">
        <v>0.59522063895679334</v>
      </c>
      <c r="BA49">
        <v>0.2386837804809922</v>
      </c>
      <c r="BB49">
        <v>0.31141075056358591</v>
      </c>
      <c r="BC49">
        <v>0.1454539401651874</v>
      </c>
      <c r="BD49">
        <v>0.1454539401651874</v>
      </c>
    </row>
    <row r="50" spans="1:56" x14ac:dyDescent="0.2">
      <c r="G50">
        <v>20</v>
      </c>
      <c r="H50">
        <v>0.13720012950400001</v>
      </c>
      <c r="I50">
        <v>0.13720012950400001</v>
      </c>
      <c r="J50">
        <v>-0.13720012950400001</v>
      </c>
      <c r="K50">
        <v>0.27440025900800002</v>
      </c>
      <c r="L50">
        <v>0.41160038851199998</v>
      </c>
      <c r="M50">
        <v>0.41160038851199998</v>
      </c>
      <c r="N50">
        <v>0.82320077702400007</v>
      </c>
      <c r="O50">
        <v>0.13720012950400001</v>
      </c>
      <c r="P50">
        <v>0.27440025900800002</v>
      </c>
      <c r="Q50">
        <v>0.13720012950400001</v>
      </c>
      <c r="R50">
        <v>0.13720012950400001</v>
      </c>
      <c r="T50">
        <v>0.30938408078591162</v>
      </c>
      <c r="U50">
        <v>0.20607371001676461</v>
      </c>
      <c r="V50">
        <v>0.30938408078591162</v>
      </c>
      <c r="W50">
        <v>0.30938408078591162</v>
      </c>
      <c r="X50">
        <v>0.30938408078591162</v>
      </c>
      <c r="Y50">
        <v>0.30960014511188122</v>
      </c>
      <c r="Z50">
        <v>0.3177239645030272</v>
      </c>
      <c r="AA50">
        <v>0.30960014511188122</v>
      </c>
      <c r="AB50">
        <v>0.30960014511188122</v>
      </c>
      <c r="AC50">
        <v>0.13720012950400001</v>
      </c>
      <c r="AD50">
        <v>0.13720012950400001</v>
      </c>
      <c r="AF50">
        <v>20</v>
      </c>
      <c r="AG50">
        <v>0.44658421028991158</v>
      </c>
      <c r="AH50">
        <v>0.34327383952076462</v>
      </c>
      <c r="AI50">
        <v>0.17218395128191161</v>
      </c>
      <c r="AJ50">
        <v>0.58378433979391153</v>
      </c>
      <c r="AK50">
        <v>0.7209844692979116</v>
      </c>
      <c r="AL50">
        <v>0.72120053362388126</v>
      </c>
      <c r="AM50">
        <v>1.1409247415270269</v>
      </c>
      <c r="AN50">
        <v>0.44680027461588118</v>
      </c>
      <c r="AO50">
        <v>0.58400040411988119</v>
      </c>
      <c r="AP50">
        <v>0.27440025900800002</v>
      </c>
      <c r="AQ50">
        <v>0.27440025900800002</v>
      </c>
      <c r="AR50">
        <v>1.484198581047792</v>
      </c>
      <c r="AT50">
        <v>1.428590458202304E-3</v>
      </c>
      <c r="AU50">
        <v>1.0981080844114019E-3</v>
      </c>
      <c r="AV50">
        <v>5.508039563181708E-4</v>
      </c>
      <c r="AW50">
        <v>1.8674837091443709E-3</v>
      </c>
      <c r="AX50">
        <v>2.306376960086438E-3</v>
      </c>
      <c r="AY50">
        <v>2.3070681341748312E-3</v>
      </c>
      <c r="AZ50">
        <v>3.6497353952893701E-3</v>
      </c>
      <c r="BA50">
        <v>1.429281632290698E-3</v>
      </c>
      <c r="BB50">
        <v>1.8681748832327641E-3</v>
      </c>
      <c r="BC50">
        <v>8.777865018841334E-4</v>
      </c>
      <c r="BD50">
        <v>8.777865018841334E-4</v>
      </c>
    </row>
    <row r="51" spans="1:56" x14ac:dyDescent="0.2">
      <c r="G51">
        <v>21</v>
      </c>
      <c r="H51">
        <v>35.641199277920002</v>
      </c>
      <c r="I51">
        <v>35.641199277920002</v>
      </c>
      <c r="J51">
        <v>-35.641199277920002</v>
      </c>
      <c r="K51">
        <v>71.282398555840004</v>
      </c>
      <c r="L51">
        <v>106.92359783376</v>
      </c>
      <c r="M51">
        <v>106.92359783376</v>
      </c>
      <c r="N51">
        <v>213.84719566752</v>
      </c>
      <c r="O51">
        <v>35.641199277920002</v>
      </c>
      <c r="P51">
        <v>71.282398555840004</v>
      </c>
      <c r="Q51">
        <v>35.641199277920002</v>
      </c>
      <c r="R51">
        <v>35.641199277920002</v>
      </c>
      <c r="T51">
        <v>96.04859231667578</v>
      </c>
      <c r="U51">
        <v>59.804156493422298</v>
      </c>
      <c r="V51">
        <v>96.04859231667578</v>
      </c>
      <c r="W51">
        <v>96.04859231667578</v>
      </c>
      <c r="X51">
        <v>96.04859231667578</v>
      </c>
      <c r="Y51">
        <v>96.049503276305188</v>
      </c>
      <c r="Z51">
        <v>98.757587407875789</v>
      </c>
      <c r="AA51">
        <v>96.049503276305188</v>
      </c>
      <c r="AB51">
        <v>96.049503276305188</v>
      </c>
      <c r="AC51">
        <v>35.641199277920002</v>
      </c>
      <c r="AD51">
        <v>35.641199277920002</v>
      </c>
      <c r="AF51">
        <v>21</v>
      </c>
      <c r="AG51">
        <v>131.68979159459579</v>
      </c>
      <c r="AH51">
        <v>95.445355771342307</v>
      </c>
      <c r="AI51">
        <v>60.407393038755778</v>
      </c>
      <c r="AJ51">
        <v>167.3309908725158</v>
      </c>
      <c r="AK51">
        <v>202.97219015043581</v>
      </c>
      <c r="AL51">
        <v>202.97310111006519</v>
      </c>
      <c r="AM51">
        <v>312.6047830753958</v>
      </c>
      <c r="AN51">
        <v>131.6907025542252</v>
      </c>
      <c r="AO51">
        <v>167.33190183214521</v>
      </c>
      <c r="AP51">
        <v>71.282398555840004</v>
      </c>
      <c r="AQ51">
        <v>71.282398555840004</v>
      </c>
      <c r="AR51">
        <v>408.05013884673809</v>
      </c>
      <c r="AT51">
        <v>0.42126608012531302</v>
      </c>
      <c r="AU51">
        <v>0.30532276196273761</v>
      </c>
      <c r="AV51">
        <v>0.19323886360429229</v>
      </c>
      <c r="AW51">
        <v>0.5352796883858234</v>
      </c>
      <c r="AX51">
        <v>0.64929329664633373</v>
      </c>
      <c r="AY51">
        <v>0.64929621074003518</v>
      </c>
      <c r="AZ51">
        <v>1</v>
      </c>
      <c r="BA51">
        <v>0.42126899421901448</v>
      </c>
      <c r="BB51">
        <v>0.53528260247952486</v>
      </c>
      <c r="BC51">
        <v>0.22802721652102079</v>
      </c>
      <c r="BD51">
        <v>0.22802721652102079</v>
      </c>
    </row>
    <row r="52" spans="1:56" x14ac:dyDescent="0.2">
      <c r="G52">
        <v>22</v>
      </c>
      <c r="H52">
        <v>9.3247989948800001</v>
      </c>
      <c r="I52">
        <v>9.3247989948800001</v>
      </c>
      <c r="J52">
        <v>-9.3247989948800001</v>
      </c>
      <c r="K52">
        <v>18.64959798976</v>
      </c>
      <c r="L52">
        <v>27.974396984639998</v>
      </c>
      <c r="M52">
        <v>27.974396984639998</v>
      </c>
      <c r="N52">
        <v>55.948793969279997</v>
      </c>
      <c r="O52">
        <v>9.3247989948800001</v>
      </c>
      <c r="P52">
        <v>18.64959798976</v>
      </c>
      <c r="Q52">
        <v>9.3247989948800001</v>
      </c>
      <c r="R52">
        <v>9.3247989948800001</v>
      </c>
      <c r="T52">
        <v>25.67929090759776</v>
      </c>
      <c r="U52">
        <v>15.866595759967099</v>
      </c>
      <c r="V52">
        <v>25.67929090759776</v>
      </c>
      <c r="W52">
        <v>25.67929090759776</v>
      </c>
      <c r="X52">
        <v>25.67929090759776</v>
      </c>
      <c r="Y52">
        <v>25.679290796845368</v>
      </c>
      <c r="Z52">
        <v>30.177584126032599</v>
      </c>
      <c r="AA52">
        <v>25.679290796845368</v>
      </c>
      <c r="AB52">
        <v>25.679290796845368</v>
      </c>
      <c r="AC52">
        <v>9.3247989948800001</v>
      </c>
      <c r="AD52">
        <v>9.3247989948800001</v>
      </c>
      <c r="AF52">
        <v>22</v>
      </c>
      <c r="AG52">
        <v>35.004089902477759</v>
      </c>
      <c r="AH52">
        <v>25.191394754847099</v>
      </c>
      <c r="AI52">
        <v>16.354491912717759</v>
      </c>
      <c r="AJ52">
        <v>44.328888897357757</v>
      </c>
      <c r="AK52">
        <v>53.653687892237762</v>
      </c>
      <c r="AL52">
        <v>53.653687781485367</v>
      </c>
      <c r="AM52">
        <v>86.126378095312603</v>
      </c>
      <c r="AN52">
        <v>35.00408979172537</v>
      </c>
      <c r="AO52">
        <v>44.328888786605383</v>
      </c>
      <c r="AP52">
        <v>18.64959798976</v>
      </c>
      <c r="AQ52">
        <v>18.64959798976</v>
      </c>
      <c r="AR52">
        <v>111.3177728501597</v>
      </c>
      <c r="AT52">
        <v>0.1119755416347397</v>
      </c>
      <c r="AU52">
        <v>8.058544244593753E-2</v>
      </c>
      <c r="AV52">
        <v>5.2316831981336923E-2</v>
      </c>
      <c r="AW52">
        <v>0.14180489646144109</v>
      </c>
      <c r="AX52">
        <v>0.1716342512881425</v>
      </c>
      <c r="AY52">
        <v>0.1716342509338537</v>
      </c>
      <c r="AZ52">
        <v>0.27551202911229983</v>
      </c>
      <c r="BA52">
        <v>0.1119755412804509</v>
      </c>
      <c r="BB52">
        <v>0.1418048961071523</v>
      </c>
      <c r="BC52">
        <v>5.9658709653402787E-2</v>
      </c>
      <c r="BD52">
        <v>5.9658709653402787E-2</v>
      </c>
    </row>
    <row r="54" spans="1:56" x14ac:dyDescent="0.2">
      <c r="R54">
        <v>3480</v>
      </c>
      <c r="AQ54" s="7" t="s">
        <v>71</v>
      </c>
      <c r="AR54" s="7">
        <v>1121.7921157334861</v>
      </c>
    </row>
    <row r="55" spans="1:56" x14ac:dyDescent="0.2">
      <c r="B55" t="s">
        <v>28</v>
      </c>
      <c r="C55" t="s">
        <v>29</v>
      </c>
      <c r="D55" t="s">
        <v>76</v>
      </c>
      <c r="E55" t="s">
        <v>77</v>
      </c>
    </row>
    <row r="56" spans="1:56" x14ac:dyDescent="0.2">
      <c r="A56" t="s">
        <v>11</v>
      </c>
      <c r="B56" t="s">
        <v>31</v>
      </c>
      <c r="C56">
        <v>0</v>
      </c>
      <c r="D56">
        <v>1</v>
      </c>
      <c r="E56">
        <v>1</v>
      </c>
      <c r="G56" t="s">
        <v>11</v>
      </c>
      <c r="H56" t="s">
        <v>12</v>
      </c>
      <c r="I56" t="s">
        <v>13</v>
      </c>
      <c r="J56" t="s">
        <v>14</v>
      </c>
      <c r="K56" t="s">
        <v>15</v>
      </c>
      <c r="L56" t="s">
        <v>16</v>
      </c>
      <c r="M56" t="s">
        <v>17</v>
      </c>
      <c r="N56" t="s">
        <v>18</v>
      </c>
      <c r="O56" t="s">
        <v>19</v>
      </c>
      <c r="P56" t="s">
        <v>20</v>
      </c>
      <c r="Q56" t="s">
        <v>21</v>
      </c>
    </row>
    <row r="57" spans="1:56" x14ac:dyDescent="0.2">
      <c r="A57" t="s">
        <v>12</v>
      </c>
      <c r="B57" t="s">
        <v>30</v>
      </c>
      <c r="C57">
        <v>0</v>
      </c>
      <c r="D57">
        <v>1</v>
      </c>
      <c r="E57">
        <v>1</v>
      </c>
      <c r="G57">
        <v>1</v>
      </c>
      <c r="H57">
        <v>1</v>
      </c>
      <c r="I57">
        <v>-1</v>
      </c>
      <c r="J57">
        <v>2</v>
      </c>
      <c r="K57">
        <v>3</v>
      </c>
      <c r="L57">
        <v>3</v>
      </c>
      <c r="M57">
        <v>6</v>
      </c>
      <c r="N57">
        <v>1</v>
      </c>
      <c r="O57">
        <v>2</v>
      </c>
      <c r="P57">
        <v>1</v>
      </c>
      <c r="Q57">
        <v>1</v>
      </c>
    </row>
    <row r="58" spans="1:56" x14ac:dyDescent="0.2">
      <c r="A58" t="s">
        <v>13</v>
      </c>
      <c r="B58" s="2" t="s">
        <v>41</v>
      </c>
      <c r="C58">
        <v>-2</v>
      </c>
      <c r="D58">
        <v>-1</v>
      </c>
      <c r="E58">
        <v>-1</v>
      </c>
    </row>
    <row r="59" spans="1:56" x14ac:dyDescent="0.2">
      <c r="A59" t="s">
        <v>14</v>
      </c>
      <c r="B59" t="s">
        <v>30</v>
      </c>
      <c r="C59">
        <v>1</v>
      </c>
      <c r="D59">
        <v>2</v>
      </c>
      <c r="E59">
        <v>2</v>
      </c>
    </row>
    <row r="60" spans="1:56" x14ac:dyDescent="0.2">
      <c r="A60" t="s">
        <v>15</v>
      </c>
      <c r="B60" t="s">
        <v>30</v>
      </c>
      <c r="C60">
        <v>1</v>
      </c>
      <c r="D60">
        <v>2</v>
      </c>
      <c r="E60">
        <v>3</v>
      </c>
    </row>
    <row r="61" spans="1:56" x14ac:dyDescent="0.2">
      <c r="A61" t="s">
        <v>16</v>
      </c>
      <c r="B61" t="s">
        <v>48</v>
      </c>
      <c r="C61">
        <v>2</v>
      </c>
      <c r="D61">
        <v>3</v>
      </c>
      <c r="E61">
        <v>4</v>
      </c>
    </row>
    <row r="62" spans="1:56" x14ac:dyDescent="0.2">
      <c r="A62" t="s">
        <v>17</v>
      </c>
      <c r="B62" t="s">
        <v>38</v>
      </c>
      <c r="C62">
        <v>5</v>
      </c>
      <c r="D62">
        <v>6</v>
      </c>
      <c r="E62">
        <v>5</v>
      </c>
    </row>
    <row r="63" spans="1:56" x14ac:dyDescent="0.2">
      <c r="A63" t="s">
        <v>18</v>
      </c>
      <c r="B63" t="s">
        <v>51</v>
      </c>
      <c r="C63">
        <v>3</v>
      </c>
      <c r="D63">
        <v>4</v>
      </c>
      <c r="E63">
        <v>3</v>
      </c>
    </row>
    <row r="64" spans="1:56" x14ac:dyDescent="0.2">
      <c r="A64" t="s">
        <v>19</v>
      </c>
      <c r="B64" t="s">
        <v>31</v>
      </c>
      <c r="C64">
        <v>4</v>
      </c>
      <c r="D64">
        <v>5</v>
      </c>
      <c r="E64">
        <v>4</v>
      </c>
    </row>
    <row r="65" spans="1:5" x14ac:dyDescent="0.2">
      <c r="A65" t="s">
        <v>20</v>
      </c>
      <c r="B65" t="s">
        <v>38</v>
      </c>
      <c r="C65">
        <v>3</v>
      </c>
      <c r="D65">
        <v>4</v>
      </c>
      <c r="E65">
        <v>4</v>
      </c>
    </row>
    <row r="66" spans="1:5" x14ac:dyDescent="0.2">
      <c r="A66" t="s">
        <v>21</v>
      </c>
      <c r="B66" t="s">
        <v>49</v>
      </c>
      <c r="C66">
        <v>0</v>
      </c>
      <c r="D66">
        <v>1</v>
      </c>
      <c r="E66">
        <v>1</v>
      </c>
    </row>
    <row r="68" spans="1:5" x14ac:dyDescent="0.2">
      <c r="E68" t="s">
        <v>78</v>
      </c>
    </row>
    <row r="69" spans="1:5" x14ac:dyDescent="0.2">
      <c r="E69" t="s">
        <v>79</v>
      </c>
    </row>
  </sheetData>
  <conditionalFormatting sqref="H31:R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2"/>
  <sheetViews>
    <sheetView zoomScale="70" zoomScaleNormal="70" workbookViewId="0">
      <selection activeCell="E5" sqref="E5"/>
    </sheetView>
  </sheetViews>
  <sheetFormatPr baseColWidth="10" defaultColWidth="8.83203125" defaultRowHeight="15" x14ac:dyDescent="0.2"/>
  <cols>
    <col min="2" max="2" width="13.6640625" customWidth="1"/>
    <col min="6" max="15" width="14.33203125" customWidth="1"/>
    <col min="16" max="16" width="13.83203125" customWidth="1"/>
  </cols>
  <sheetData>
    <row r="1" spans="1:16" x14ac:dyDescent="0.2">
      <c r="A1" t="s">
        <v>80</v>
      </c>
    </row>
    <row r="3" spans="1:16" x14ac:dyDescent="0.2">
      <c r="E3" t="s">
        <v>81</v>
      </c>
      <c r="F3">
        <v>1</v>
      </c>
      <c r="G3">
        <v>2</v>
      </c>
      <c r="H3">
        <v>3</v>
      </c>
      <c r="I3">
        <v>4</v>
      </c>
      <c r="J3">
        <v>5</v>
      </c>
      <c r="K3">
        <v>6</v>
      </c>
      <c r="L3">
        <v>7</v>
      </c>
      <c r="M3">
        <v>8</v>
      </c>
      <c r="N3">
        <v>9</v>
      </c>
      <c r="O3">
        <v>10</v>
      </c>
      <c r="P3">
        <v>11</v>
      </c>
    </row>
    <row r="4" spans="1:16" ht="198.75" customHeight="1" x14ac:dyDescent="0.2">
      <c r="A4" t="s">
        <v>82</v>
      </c>
      <c r="F4" s="3" t="s">
        <v>83</v>
      </c>
      <c r="G4" s="3" t="s">
        <v>84</v>
      </c>
      <c r="H4" s="3" t="s">
        <v>85</v>
      </c>
      <c r="I4" s="3" t="s">
        <v>86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  <c r="O4" s="3" t="s">
        <v>92</v>
      </c>
      <c r="P4" s="3" t="s">
        <v>93</v>
      </c>
    </row>
    <row r="5" spans="1:16" x14ac:dyDescent="0.2">
      <c r="A5">
        <v>1</v>
      </c>
      <c r="B5">
        <v>2.9486311867000001E-2</v>
      </c>
      <c r="E5">
        <v>0.98525684406650005</v>
      </c>
      <c r="F5">
        <v>1.47431559335E-2</v>
      </c>
      <c r="G5">
        <v>2.3589049493599999E-2</v>
      </c>
      <c r="H5">
        <v>1.47431559335E-2</v>
      </c>
      <c r="I5">
        <v>1.47431559335E-2</v>
      </c>
      <c r="J5">
        <v>1.47431559335E-2</v>
      </c>
      <c r="K5">
        <v>1.47431557998E-2</v>
      </c>
      <c r="L5">
        <v>1.27509592894E-2</v>
      </c>
      <c r="M5">
        <v>1.47431557998E-2</v>
      </c>
      <c r="N5">
        <v>1.47431557998E-2</v>
      </c>
      <c r="O5">
        <v>2.9486311867000001E-2</v>
      </c>
      <c r="P5">
        <v>2.9486311867000001E-2</v>
      </c>
    </row>
    <row r="6" spans="1:16" x14ac:dyDescent="0.2">
      <c r="A6">
        <v>2</v>
      </c>
      <c r="B6">
        <v>4.4395007140500001E-2</v>
      </c>
      <c r="E6">
        <v>0.97780249642975003</v>
      </c>
      <c r="F6">
        <v>2.219750357025E-2</v>
      </c>
      <c r="G6">
        <v>3.5516005712400003E-2</v>
      </c>
      <c r="H6">
        <v>2.219750357025E-2</v>
      </c>
      <c r="I6">
        <v>2.219750357025E-2</v>
      </c>
      <c r="J6">
        <v>2.219750357025E-2</v>
      </c>
      <c r="K6">
        <v>2.2197503596499999E-2</v>
      </c>
      <c r="L6">
        <v>1.6560133137900002E-2</v>
      </c>
      <c r="M6">
        <v>2.2197503596499999E-2</v>
      </c>
      <c r="N6">
        <v>2.2197503596499999E-2</v>
      </c>
      <c r="O6">
        <v>4.4395007140500001E-2</v>
      </c>
      <c r="P6">
        <v>4.4395007140500001E-2</v>
      </c>
    </row>
    <row r="7" spans="1:16" x14ac:dyDescent="0.2">
      <c r="A7">
        <v>3</v>
      </c>
      <c r="B7">
        <v>2.7492682770624999E-2</v>
      </c>
      <c r="E7">
        <v>0.9862536586146875</v>
      </c>
      <c r="F7">
        <v>1.3746341385312499E-2</v>
      </c>
      <c r="G7">
        <v>2.1994146216500001E-2</v>
      </c>
      <c r="H7">
        <v>1.3746341385312499E-2</v>
      </c>
      <c r="I7">
        <v>1.3746341385312499E-2</v>
      </c>
      <c r="J7">
        <v>1.3746341385312499E-2</v>
      </c>
      <c r="K7">
        <v>1.37386675924E-2</v>
      </c>
      <c r="L7">
        <v>1.1309549378149999E-2</v>
      </c>
      <c r="M7">
        <v>1.37386675924E-2</v>
      </c>
      <c r="N7">
        <v>1.37386675924E-2</v>
      </c>
      <c r="O7">
        <v>2.7492682770624999E-2</v>
      </c>
      <c r="P7">
        <v>2.7492682770624999E-2</v>
      </c>
    </row>
    <row r="8" spans="1:16" x14ac:dyDescent="0.2">
      <c r="A8">
        <v>4</v>
      </c>
      <c r="B8">
        <v>1.84069490526E-2</v>
      </c>
      <c r="E8">
        <v>0.99079652547370001</v>
      </c>
      <c r="F8">
        <v>9.2034745262999998E-3</v>
      </c>
      <c r="G8">
        <v>1.4725559242079999E-2</v>
      </c>
      <c r="H8">
        <v>9.2034745262999998E-3</v>
      </c>
      <c r="I8">
        <v>9.2034745262999998E-3</v>
      </c>
      <c r="J8">
        <v>9.2034745262999998E-3</v>
      </c>
      <c r="K8">
        <v>9.2034749686699998E-3</v>
      </c>
      <c r="L8">
        <v>7.0289052245500003E-3</v>
      </c>
      <c r="M8">
        <v>9.2034749686699998E-3</v>
      </c>
      <c r="N8">
        <v>9.2034749686699998E-3</v>
      </c>
      <c r="O8">
        <v>1.84069490526E-2</v>
      </c>
      <c r="P8">
        <v>1.84069490526E-2</v>
      </c>
    </row>
    <row r="9" spans="1:16" x14ac:dyDescent="0.2">
      <c r="A9">
        <v>5</v>
      </c>
      <c r="B9">
        <v>2.2416963421125001E-2</v>
      </c>
      <c r="E9">
        <v>0.98879151828943745</v>
      </c>
      <c r="F9">
        <v>1.1208481710562501E-2</v>
      </c>
      <c r="G9">
        <v>1.7933570736899999E-2</v>
      </c>
      <c r="H9">
        <v>1.1208481710562501E-2</v>
      </c>
      <c r="I9">
        <v>1.1208481710562501E-2</v>
      </c>
      <c r="J9">
        <v>1.1208481710562501E-2</v>
      </c>
      <c r="K9">
        <v>1.1176314204899999E-2</v>
      </c>
      <c r="L9">
        <v>6.7570540986999997E-3</v>
      </c>
      <c r="M9">
        <v>1.1176314204899999E-2</v>
      </c>
      <c r="N9">
        <v>1.1176314204899999E-2</v>
      </c>
      <c r="O9">
        <v>2.2416963421125001E-2</v>
      </c>
      <c r="P9">
        <v>2.2416963421125001E-2</v>
      </c>
    </row>
    <row r="10" spans="1:16" x14ac:dyDescent="0.2">
      <c r="A10">
        <v>6</v>
      </c>
      <c r="B10">
        <v>3.4609347739199998E-2</v>
      </c>
      <c r="E10">
        <v>0.9826953261304</v>
      </c>
      <c r="F10">
        <v>1.7304673869599999E-2</v>
      </c>
      <c r="G10">
        <v>2.7687478191359999E-2</v>
      </c>
      <c r="H10">
        <v>1.7304673869599999E-2</v>
      </c>
      <c r="I10">
        <v>1.7304673869599999E-2</v>
      </c>
      <c r="J10">
        <v>1.7304673869599999E-2</v>
      </c>
      <c r="K10">
        <v>1.73031780869E-2</v>
      </c>
      <c r="L10">
        <v>1.08409323078E-2</v>
      </c>
      <c r="M10">
        <v>1.73031780869E-2</v>
      </c>
      <c r="N10">
        <v>1.73031780869E-2</v>
      </c>
      <c r="O10">
        <v>3.4609347739199998E-2</v>
      </c>
      <c r="P10">
        <v>3.4609347739199998E-2</v>
      </c>
    </row>
    <row r="11" spans="1:16" x14ac:dyDescent="0.2">
      <c r="A11">
        <v>7</v>
      </c>
      <c r="B11">
        <v>3.7153573808400002E-2</v>
      </c>
      <c r="E11">
        <v>0.98142321309580005</v>
      </c>
      <c r="F11">
        <v>1.8576786904200001E-2</v>
      </c>
      <c r="G11">
        <v>2.972285904672E-2</v>
      </c>
      <c r="H11">
        <v>1.8576786904200001E-2</v>
      </c>
      <c r="I11">
        <v>1.8576786904200001E-2</v>
      </c>
      <c r="J11">
        <v>1.8576786904200001E-2</v>
      </c>
      <c r="K11">
        <v>1.85767877847E-2</v>
      </c>
      <c r="L11">
        <v>1.14340549819E-2</v>
      </c>
      <c r="M11">
        <v>1.85767877847E-2</v>
      </c>
      <c r="N11">
        <v>1.85767877847E-2</v>
      </c>
      <c r="O11">
        <v>3.7153573808400002E-2</v>
      </c>
      <c r="P11">
        <v>3.7153573808400002E-2</v>
      </c>
    </row>
    <row r="12" spans="1:16" x14ac:dyDescent="0.2">
      <c r="A12">
        <v>8</v>
      </c>
      <c r="B12">
        <v>2.9154197817500001E-2</v>
      </c>
      <c r="E12">
        <v>0.98542290109124997</v>
      </c>
      <c r="F12">
        <v>1.4577098908750001E-2</v>
      </c>
      <c r="G12">
        <v>2.3323358254E-2</v>
      </c>
      <c r="H12">
        <v>1.4577098908750001E-2</v>
      </c>
      <c r="I12">
        <v>1.4577098908750001E-2</v>
      </c>
      <c r="J12">
        <v>1.4577098908750001E-2</v>
      </c>
      <c r="K12">
        <v>1.4530457556199999E-2</v>
      </c>
      <c r="L12">
        <v>8.6164710586500003E-3</v>
      </c>
      <c r="M12">
        <v>1.4530457556199999E-2</v>
      </c>
      <c r="N12">
        <v>1.4530457556199999E-2</v>
      </c>
      <c r="O12">
        <v>2.9154197817500001E-2</v>
      </c>
      <c r="P12">
        <v>2.9154197817500001E-2</v>
      </c>
    </row>
    <row r="13" spans="1:16" x14ac:dyDescent="0.2">
      <c r="A13">
        <v>9</v>
      </c>
      <c r="B13">
        <v>1.84419630787E-2</v>
      </c>
      <c r="E13">
        <v>0.99077901846064997</v>
      </c>
      <c r="F13">
        <v>9.22098153935E-3</v>
      </c>
      <c r="G13">
        <v>1.4753570462960001E-2</v>
      </c>
      <c r="H13">
        <v>9.22098153935E-3</v>
      </c>
      <c r="I13">
        <v>9.22098153935E-3</v>
      </c>
      <c r="J13">
        <v>9.22098153935E-3</v>
      </c>
      <c r="K13">
        <v>9.1169960796799992E-3</v>
      </c>
      <c r="L13">
        <v>6.0431818688999996E-3</v>
      </c>
      <c r="M13">
        <v>9.1169960796799992E-3</v>
      </c>
      <c r="N13">
        <v>9.1169960796799992E-3</v>
      </c>
      <c r="O13">
        <v>1.84419630787E-2</v>
      </c>
      <c r="P13">
        <v>1.84419630787E-2</v>
      </c>
    </row>
    <row r="14" spans="1:16" x14ac:dyDescent="0.2">
      <c r="A14">
        <v>10</v>
      </c>
      <c r="B14">
        <v>1.46867569854E-2</v>
      </c>
      <c r="E14">
        <v>0.99265662150730005</v>
      </c>
      <c r="F14">
        <v>7.3433784927E-3</v>
      </c>
      <c r="G14">
        <v>1.174940558832E-2</v>
      </c>
      <c r="H14">
        <v>7.3433784927E-3</v>
      </c>
      <c r="I14">
        <v>7.3433784927E-3</v>
      </c>
      <c r="J14">
        <v>7.3433784927E-3</v>
      </c>
      <c r="K14">
        <v>7.2811436839399996E-3</v>
      </c>
      <c r="L14">
        <v>5.1131617470499997E-3</v>
      </c>
      <c r="M14">
        <v>7.2811436839399996E-3</v>
      </c>
      <c r="N14">
        <v>7.2811436839399996E-3</v>
      </c>
      <c r="O14">
        <v>1.46867569854E-2</v>
      </c>
      <c r="P14">
        <v>1.46867569854E-2</v>
      </c>
    </row>
    <row r="15" spans="1:16" x14ac:dyDescent="0.2">
      <c r="A15">
        <v>11</v>
      </c>
      <c r="B15">
        <v>8.4610431537749994E-3</v>
      </c>
      <c r="E15">
        <v>0.99576947842311248</v>
      </c>
      <c r="F15">
        <v>4.2305215768874997E-3</v>
      </c>
      <c r="G15">
        <v>6.7688345230200002E-3</v>
      </c>
      <c r="H15">
        <v>4.2305215768874997E-3</v>
      </c>
      <c r="I15">
        <v>4.2305215768874997E-3</v>
      </c>
      <c r="J15">
        <v>4.2305215768874997E-3</v>
      </c>
      <c r="K15">
        <v>4.2278305627399997E-3</v>
      </c>
      <c r="L15">
        <v>4.1369764391349997E-3</v>
      </c>
      <c r="M15">
        <v>4.2278305627399997E-3</v>
      </c>
      <c r="N15">
        <v>4.2278305627399997E-3</v>
      </c>
      <c r="O15">
        <v>8.4610431537749994E-3</v>
      </c>
      <c r="P15">
        <v>8.4610431537749994E-3</v>
      </c>
    </row>
    <row r="16" spans="1:16" x14ac:dyDescent="0.2">
      <c r="A16">
        <v>12</v>
      </c>
      <c r="B16">
        <v>1.50585582499E-2</v>
      </c>
      <c r="E16">
        <v>0.99247072087504995</v>
      </c>
      <c r="F16">
        <v>7.5292791249499998E-3</v>
      </c>
      <c r="G16">
        <v>1.2046846599920001E-2</v>
      </c>
      <c r="H16">
        <v>7.5292791249499998E-3</v>
      </c>
      <c r="I16">
        <v>7.5292791249499998E-3</v>
      </c>
      <c r="J16">
        <v>7.5292791249499998E-3</v>
      </c>
      <c r="K16">
        <v>7.5286575593099996E-3</v>
      </c>
      <c r="L16">
        <v>6.2938531971999997E-3</v>
      </c>
      <c r="M16">
        <v>7.5286575593099996E-3</v>
      </c>
      <c r="N16">
        <v>7.5286575593099996E-3</v>
      </c>
      <c r="O16">
        <v>1.50585582499E-2</v>
      </c>
      <c r="P16">
        <v>1.50585582499E-2</v>
      </c>
    </row>
    <row r="17" spans="1:16" x14ac:dyDescent="0.2">
      <c r="A17">
        <v>13</v>
      </c>
      <c r="B17">
        <v>2.1287653990400002E-2</v>
      </c>
      <c r="E17">
        <v>0.98935617300479994</v>
      </c>
      <c r="F17">
        <v>1.0643826995200001E-2</v>
      </c>
      <c r="G17">
        <v>1.7030123192320001E-2</v>
      </c>
      <c r="H17">
        <v>1.0643826995200001E-2</v>
      </c>
      <c r="I17">
        <v>1.0643826995200001E-2</v>
      </c>
      <c r="J17">
        <v>1.0643826995200001E-2</v>
      </c>
      <c r="K17">
        <v>1.06438267976E-2</v>
      </c>
      <c r="L17">
        <v>8.5329795687499998E-3</v>
      </c>
      <c r="M17">
        <v>1.06438267976E-2</v>
      </c>
      <c r="N17">
        <v>1.06438267976E-2</v>
      </c>
      <c r="O17">
        <v>2.1287653990400002E-2</v>
      </c>
      <c r="P17">
        <v>2.1287653990400002E-2</v>
      </c>
    </row>
    <row r="18" spans="1:16" x14ac:dyDescent="0.2">
      <c r="A18">
        <v>14</v>
      </c>
      <c r="B18">
        <v>1.80703847406E-2</v>
      </c>
      <c r="E18">
        <v>0.99096480762969996</v>
      </c>
      <c r="F18">
        <v>9.0351923702999999E-3</v>
      </c>
      <c r="G18">
        <v>1.445630779248E-2</v>
      </c>
      <c r="H18">
        <v>9.0351923702999999E-3</v>
      </c>
      <c r="I18">
        <v>9.0351923702999999E-3</v>
      </c>
      <c r="J18">
        <v>9.0351923702999999E-3</v>
      </c>
      <c r="K18">
        <v>9.0351924300199997E-3</v>
      </c>
      <c r="L18">
        <v>8.3672815539999994E-3</v>
      </c>
      <c r="M18">
        <v>9.0351924300199997E-3</v>
      </c>
      <c r="N18">
        <v>9.0351924300199997E-3</v>
      </c>
      <c r="O18">
        <v>1.80703847406E-2</v>
      </c>
      <c r="P18">
        <v>1.80703847406E-2</v>
      </c>
    </row>
    <row r="19" spans="1:16" x14ac:dyDescent="0.2">
      <c r="A19">
        <v>15</v>
      </c>
      <c r="B19">
        <v>1.6167764114700001E-2</v>
      </c>
      <c r="E19">
        <v>0.99191611794265</v>
      </c>
      <c r="F19">
        <v>8.0838820573500003E-3</v>
      </c>
      <c r="G19">
        <v>1.2934211291760001E-2</v>
      </c>
      <c r="H19">
        <v>8.0838820573500003E-3</v>
      </c>
      <c r="I19">
        <v>8.0838820573500003E-3</v>
      </c>
      <c r="J19">
        <v>8.0838820573500003E-3</v>
      </c>
      <c r="K19">
        <v>8.0838818103100007E-3</v>
      </c>
      <c r="L19">
        <v>7.2022032019124996E-3</v>
      </c>
      <c r="M19">
        <v>8.0838818103100007E-3</v>
      </c>
      <c r="N19">
        <v>8.0838818103100007E-3</v>
      </c>
      <c r="O19">
        <v>1.6167764114700001E-2</v>
      </c>
      <c r="P19">
        <v>1.6167764114700001E-2</v>
      </c>
    </row>
    <row r="20" spans="1:16" x14ac:dyDescent="0.2">
      <c r="A20">
        <v>16</v>
      </c>
      <c r="B20">
        <v>8.1365932410200001E-3</v>
      </c>
      <c r="E20">
        <v>0.99593170337949</v>
      </c>
      <c r="F20">
        <v>4.06829662051E-3</v>
      </c>
      <c r="G20">
        <v>6.5092745928160001E-3</v>
      </c>
      <c r="H20">
        <v>4.06829662051E-3</v>
      </c>
      <c r="I20">
        <v>4.06829662051E-3</v>
      </c>
      <c r="J20">
        <v>4.06829662051E-3</v>
      </c>
      <c r="K20">
        <v>4.0678433142599998E-3</v>
      </c>
      <c r="L20">
        <v>4.9628378974049996E-3</v>
      </c>
      <c r="M20">
        <v>4.0678433142599998E-3</v>
      </c>
      <c r="N20">
        <v>4.0678433142599998E-3</v>
      </c>
      <c r="O20">
        <v>8.1365932410200001E-3</v>
      </c>
      <c r="P20">
        <v>8.1365932410200001E-3</v>
      </c>
    </row>
    <row r="21" spans="1:16" x14ac:dyDescent="0.2">
      <c r="A21">
        <v>17</v>
      </c>
      <c r="B21">
        <v>1.44723138897E-2</v>
      </c>
      <c r="E21">
        <v>0.99276384305514997</v>
      </c>
      <c r="F21">
        <v>7.23615694485E-3</v>
      </c>
      <c r="G21">
        <v>1.1577851111760001E-2</v>
      </c>
      <c r="H21">
        <v>7.23615694485E-3</v>
      </c>
      <c r="I21">
        <v>7.23615694485E-3</v>
      </c>
      <c r="J21">
        <v>7.23615694485E-3</v>
      </c>
      <c r="K21">
        <v>7.2358767501999998E-3</v>
      </c>
      <c r="L21">
        <v>9.3763775229499993E-3</v>
      </c>
      <c r="M21">
        <v>7.2358767501999998E-3</v>
      </c>
      <c r="N21">
        <v>7.2358767501999998E-3</v>
      </c>
      <c r="O21">
        <v>1.44723138897E-2</v>
      </c>
      <c r="P21">
        <v>1.44723138897E-2</v>
      </c>
    </row>
    <row r="22" spans="1:16" x14ac:dyDescent="0.2">
      <c r="A22">
        <v>18</v>
      </c>
      <c r="B22">
        <v>1.7715824798125002E-2</v>
      </c>
      <c r="E22">
        <v>0.99114208760093747</v>
      </c>
      <c r="F22">
        <v>8.8579123990625008E-3</v>
      </c>
      <c r="G22">
        <v>1.4172659838499999E-2</v>
      </c>
      <c r="H22">
        <v>8.8579123990625008E-3</v>
      </c>
      <c r="I22">
        <v>8.8579123990625008E-3</v>
      </c>
      <c r="J22">
        <v>8.8579123990625008E-3</v>
      </c>
      <c r="K22">
        <v>8.8546285405800007E-3</v>
      </c>
      <c r="L22">
        <v>1.12872820471375E-2</v>
      </c>
      <c r="M22">
        <v>8.8546285405800007E-3</v>
      </c>
      <c r="N22">
        <v>8.8546285405800007E-3</v>
      </c>
      <c r="O22">
        <v>1.7715824798125002E-2</v>
      </c>
      <c r="P22">
        <v>1.7715824798125002E-2</v>
      </c>
    </row>
    <row r="23" spans="1:16" x14ac:dyDescent="0.2">
      <c r="A23">
        <v>19</v>
      </c>
      <c r="B23">
        <v>1.78317504761E-2</v>
      </c>
      <c r="E23">
        <v>0.99108412476194996</v>
      </c>
      <c r="F23">
        <v>8.91587523805E-3</v>
      </c>
      <c r="G23">
        <v>1.426540038088E-2</v>
      </c>
      <c r="H23">
        <v>8.91587523805E-3</v>
      </c>
      <c r="I23">
        <v>8.91587523805E-3</v>
      </c>
      <c r="J23">
        <v>8.91587523805E-3</v>
      </c>
      <c r="K23">
        <v>8.9112604036900005E-3</v>
      </c>
      <c r="L23">
        <v>9.5904159873000001E-3</v>
      </c>
      <c r="M23">
        <v>8.9112604036900005E-3</v>
      </c>
      <c r="N23">
        <v>8.9112604036900005E-3</v>
      </c>
      <c r="O23">
        <v>1.78317504761E-2</v>
      </c>
      <c r="P23">
        <v>1.78317504761E-2</v>
      </c>
    </row>
    <row r="24" spans="1:16" x14ac:dyDescent="0.2">
      <c r="A24">
        <v>20</v>
      </c>
      <c r="B24">
        <v>1.7466159130199999E-2</v>
      </c>
      <c r="E24">
        <v>0.99126692043490006</v>
      </c>
      <c r="F24">
        <v>8.7330795650999993E-3</v>
      </c>
      <c r="G24">
        <v>1.3972927304160001E-2</v>
      </c>
      <c r="H24">
        <v>8.7330795650999993E-3</v>
      </c>
      <c r="I24">
        <v>8.7330795650999993E-3</v>
      </c>
      <c r="J24">
        <v>8.7330795650999993E-3</v>
      </c>
      <c r="K24">
        <v>8.7221208959800001E-3</v>
      </c>
      <c r="L24">
        <v>8.3100850437000003E-3</v>
      </c>
      <c r="M24">
        <v>8.7221208959800001E-3</v>
      </c>
      <c r="N24">
        <v>8.7221208959800001E-3</v>
      </c>
      <c r="O24">
        <v>1.7466159130199999E-2</v>
      </c>
      <c r="P24">
        <v>1.7466159130199999E-2</v>
      </c>
    </row>
    <row r="25" spans="1:16" x14ac:dyDescent="0.2">
      <c r="A25">
        <v>21</v>
      </c>
      <c r="B25">
        <v>2.3588322056000002E-2</v>
      </c>
      <c r="E25">
        <v>0.98820583897199998</v>
      </c>
      <c r="F25">
        <v>1.1794161028000001E-2</v>
      </c>
      <c r="G25">
        <v>1.8870657644800001E-2</v>
      </c>
      <c r="H25">
        <v>1.1794161028000001E-2</v>
      </c>
      <c r="I25">
        <v>1.1794161028000001E-2</v>
      </c>
      <c r="J25">
        <v>1.1794161028000001E-2</v>
      </c>
      <c r="K25">
        <v>1.1793983168900001E-2</v>
      </c>
      <c r="L25">
        <v>1.1265246888149999E-2</v>
      </c>
      <c r="M25">
        <v>1.1793983168900001E-2</v>
      </c>
      <c r="N25">
        <v>1.1793983168900001E-2</v>
      </c>
      <c r="O25">
        <v>2.3588322056000002E-2</v>
      </c>
      <c r="P25">
        <v>2.3588322056000002E-2</v>
      </c>
    </row>
    <row r="26" spans="1:16" x14ac:dyDescent="0.2">
      <c r="A26">
        <v>22</v>
      </c>
      <c r="B26">
        <v>2.44093852327E-2</v>
      </c>
      <c r="E26">
        <v>0.98779530738364996</v>
      </c>
      <c r="F26">
        <v>1.220469261635E-2</v>
      </c>
      <c r="G26">
        <v>1.952750818616E-2</v>
      </c>
      <c r="H26">
        <v>1.220469261635E-2</v>
      </c>
      <c r="I26">
        <v>1.220469261635E-2</v>
      </c>
      <c r="J26">
        <v>1.220469261635E-2</v>
      </c>
      <c r="K26">
        <v>1.2204692699E-2</v>
      </c>
      <c r="L26">
        <v>8.8477992122500005E-3</v>
      </c>
      <c r="M26">
        <v>1.2204692699E-2</v>
      </c>
      <c r="N26">
        <v>1.2204692699E-2</v>
      </c>
      <c r="O26">
        <v>2.44093852327E-2</v>
      </c>
      <c r="P26">
        <v>2.44093852327E-2</v>
      </c>
    </row>
    <row r="28" spans="1:16" x14ac:dyDescent="0.2">
      <c r="F28" t="s">
        <v>94</v>
      </c>
    </row>
    <row r="30" spans="1:16" x14ac:dyDescent="0.2">
      <c r="E30">
        <v>1</v>
      </c>
      <c r="F30">
        <v>-1.47431559335E-2</v>
      </c>
      <c r="G30">
        <v>-5.8972623733999988E-3</v>
      </c>
      <c r="H30">
        <v>-1.47431559335E-2</v>
      </c>
      <c r="I30">
        <v>-1.47431559335E-2</v>
      </c>
      <c r="J30">
        <v>-1.47431559335E-2</v>
      </c>
      <c r="K30">
        <v>-1.4743156067199999E-2</v>
      </c>
      <c r="L30">
        <v>-1.6735352577600001E-2</v>
      </c>
      <c r="M30">
        <v>-1.4743156067199999E-2</v>
      </c>
      <c r="N30">
        <v>-1.4743156067199999E-2</v>
      </c>
      <c r="O30">
        <v>0</v>
      </c>
      <c r="P30">
        <v>0</v>
      </c>
    </row>
    <row r="31" spans="1:16" x14ac:dyDescent="0.2">
      <c r="E31">
        <v>2</v>
      </c>
      <c r="F31">
        <v>-2.219750357025E-2</v>
      </c>
      <c r="G31">
        <v>-8.8790014280999974E-3</v>
      </c>
      <c r="H31">
        <v>-2.219750357025E-2</v>
      </c>
      <c r="I31">
        <v>-2.219750357025E-2</v>
      </c>
      <c r="J31">
        <v>-2.219750357025E-2</v>
      </c>
      <c r="K31">
        <v>-2.2197503544000002E-2</v>
      </c>
      <c r="L31">
        <v>-2.7834874002599999E-2</v>
      </c>
      <c r="M31">
        <v>-2.2197503544000002E-2</v>
      </c>
      <c r="N31">
        <v>-2.2197503544000002E-2</v>
      </c>
      <c r="O31">
        <v>0</v>
      </c>
      <c r="P31">
        <v>0</v>
      </c>
    </row>
    <row r="32" spans="1:16" x14ac:dyDescent="0.2">
      <c r="E32">
        <v>3</v>
      </c>
      <c r="F32">
        <v>-1.3746341385312499E-2</v>
      </c>
      <c r="G32">
        <v>-5.4985365541249977E-3</v>
      </c>
      <c r="H32">
        <v>-1.3746341385312499E-2</v>
      </c>
      <c r="I32">
        <v>-1.3746341385312499E-2</v>
      </c>
      <c r="J32">
        <v>-1.3746341385312499E-2</v>
      </c>
      <c r="K32">
        <v>-1.3754015178225E-2</v>
      </c>
      <c r="L32">
        <v>-1.6183133392474999E-2</v>
      </c>
      <c r="M32">
        <v>-1.3754015178225E-2</v>
      </c>
      <c r="N32">
        <v>-1.3754015178225E-2</v>
      </c>
      <c r="O32">
        <v>0</v>
      </c>
      <c r="P32">
        <v>0</v>
      </c>
    </row>
    <row r="33" spans="5:16" x14ac:dyDescent="0.2">
      <c r="E33">
        <v>4</v>
      </c>
      <c r="F33">
        <v>-9.2034745262999998E-3</v>
      </c>
      <c r="G33">
        <v>-3.681389810519999E-3</v>
      </c>
      <c r="H33">
        <v>-9.2034745262999998E-3</v>
      </c>
      <c r="I33">
        <v>-9.2034745262999998E-3</v>
      </c>
      <c r="J33">
        <v>-9.2034745262999998E-3</v>
      </c>
      <c r="K33">
        <v>-9.2034740839299998E-3</v>
      </c>
      <c r="L33">
        <v>-1.1378043828049999E-2</v>
      </c>
      <c r="M33">
        <v>-9.2034740839299998E-3</v>
      </c>
      <c r="N33">
        <v>-9.2034740839299998E-3</v>
      </c>
      <c r="O33">
        <v>0</v>
      </c>
      <c r="P33">
        <v>0</v>
      </c>
    </row>
    <row r="34" spans="5:16" x14ac:dyDescent="0.2">
      <c r="E34">
        <v>5</v>
      </c>
      <c r="F34">
        <v>-1.1208481710562501E-2</v>
      </c>
      <c r="G34">
        <v>-4.4833926842249988E-3</v>
      </c>
      <c r="H34">
        <v>-1.1208481710562501E-2</v>
      </c>
      <c r="I34">
        <v>-1.1208481710562501E-2</v>
      </c>
      <c r="J34">
        <v>-1.1208481710562501E-2</v>
      </c>
      <c r="K34">
        <v>-1.1240649216225E-2</v>
      </c>
      <c r="L34">
        <v>-1.5659909322425E-2</v>
      </c>
      <c r="M34">
        <v>-1.1240649216225E-2</v>
      </c>
      <c r="N34">
        <v>-1.1240649216225E-2</v>
      </c>
      <c r="O34">
        <v>0</v>
      </c>
      <c r="P34">
        <v>0</v>
      </c>
    </row>
    <row r="35" spans="5:16" x14ac:dyDescent="0.2">
      <c r="E35">
        <v>6</v>
      </c>
      <c r="F35">
        <v>-1.7304673869599999E-2</v>
      </c>
      <c r="G35">
        <v>-6.9218695478399997E-3</v>
      </c>
      <c r="H35">
        <v>-1.7304673869599999E-2</v>
      </c>
      <c r="I35">
        <v>-1.7304673869599999E-2</v>
      </c>
      <c r="J35">
        <v>-1.7304673869599999E-2</v>
      </c>
      <c r="K35">
        <v>-1.7306169652299998E-2</v>
      </c>
      <c r="L35">
        <v>-2.37684154314E-2</v>
      </c>
      <c r="M35">
        <v>-1.7306169652299998E-2</v>
      </c>
      <c r="N35">
        <v>-1.7306169652299998E-2</v>
      </c>
      <c r="O35">
        <v>0</v>
      </c>
      <c r="P35">
        <v>0</v>
      </c>
    </row>
    <row r="36" spans="5:16" x14ac:dyDescent="0.2">
      <c r="E36">
        <v>7</v>
      </c>
      <c r="F36">
        <v>-1.8576786904200001E-2</v>
      </c>
      <c r="G36">
        <v>-7.4307147616799983E-3</v>
      </c>
      <c r="H36">
        <v>-1.8576786904200001E-2</v>
      </c>
      <c r="I36">
        <v>-1.8576786904200001E-2</v>
      </c>
      <c r="J36">
        <v>-1.8576786904200001E-2</v>
      </c>
      <c r="K36">
        <v>-1.8576786023700002E-2</v>
      </c>
      <c r="L36">
        <v>-2.5719518826500001E-2</v>
      </c>
      <c r="M36">
        <v>-1.8576786023700002E-2</v>
      </c>
      <c r="N36">
        <v>-1.8576786023700002E-2</v>
      </c>
      <c r="O36">
        <v>0</v>
      </c>
      <c r="P36">
        <v>0</v>
      </c>
    </row>
    <row r="37" spans="5:16" x14ac:dyDescent="0.2">
      <c r="E37">
        <v>8</v>
      </c>
      <c r="F37">
        <v>-1.4577098908750001E-2</v>
      </c>
      <c r="G37">
        <v>-5.8308395634999984E-3</v>
      </c>
      <c r="H37">
        <v>-1.4577098908750001E-2</v>
      </c>
      <c r="I37">
        <v>-1.4577098908750001E-2</v>
      </c>
      <c r="J37">
        <v>-1.4577098908750001E-2</v>
      </c>
      <c r="K37">
        <v>-1.46237402613E-2</v>
      </c>
      <c r="L37">
        <v>-2.0537726758849999E-2</v>
      </c>
      <c r="M37">
        <v>-1.46237402613E-2</v>
      </c>
      <c r="N37">
        <v>-1.46237402613E-2</v>
      </c>
      <c r="O37">
        <v>0</v>
      </c>
      <c r="P37">
        <v>0</v>
      </c>
    </row>
    <row r="38" spans="5:16" x14ac:dyDescent="0.2">
      <c r="E38">
        <v>9</v>
      </c>
      <c r="F38">
        <v>-9.22098153935E-3</v>
      </c>
      <c r="G38">
        <v>-3.6883926157399989E-3</v>
      </c>
      <c r="H38">
        <v>-9.22098153935E-3</v>
      </c>
      <c r="I38">
        <v>-9.22098153935E-3</v>
      </c>
      <c r="J38">
        <v>-9.22098153935E-3</v>
      </c>
      <c r="K38">
        <v>-9.3249669990200009E-3</v>
      </c>
      <c r="L38">
        <v>-1.23987812098E-2</v>
      </c>
      <c r="M38">
        <v>-9.3249669990200009E-3</v>
      </c>
      <c r="N38">
        <v>-9.3249669990200009E-3</v>
      </c>
      <c r="O38">
        <v>0</v>
      </c>
      <c r="P38">
        <v>0</v>
      </c>
    </row>
    <row r="39" spans="5:16" x14ac:dyDescent="0.2">
      <c r="E39">
        <v>10</v>
      </c>
      <c r="F39">
        <v>-7.3433784927E-3</v>
      </c>
      <c r="G39">
        <v>-2.937351397079999E-3</v>
      </c>
      <c r="H39">
        <v>-7.3433784927E-3</v>
      </c>
      <c r="I39">
        <v>-7.3433784927E-3</v>
      </c>
      <c r="J39">
        <v>-7.3433784927E-3</v>
      </c>
      <c r="K39">
        <v>-7.4056133014600003E-3</v>
      </c>
      <c r="L39">
        <v>-9.5735952383500002E-3</v>
      </c>
      <c r="M39">
        <v>-7.4056133014600003E-3</v>
      </c>
      <c r="N39">
        <v>-7.4056133014600003E-3</v>
      </c>
      <c r="O39">
        <v>0</v>
      </c>
      <c r="P39">
        <v>0</v>
      </c>
    </row>
    <row r="40" spans="5:16" x14ac:dyDescent="0.2">
      <c r="E40">
        <v>11</v>
      </c>
      <c r="F40">
        <v>-4.2305215768874997E-3</v>
      </c>
      <c r="G40">
        <v>-1.692208630754999E-3</v>
      </c>
      <c r="H40">
        <v>-4.2305215768874997E-3</v>
      </c>
      <c r="I40">
        <v>-4.2305215768874997E-3</v>
      </c>
      <c r="J40">
        <v>-4.2305215768874997E-3</v>
      </c>
      <c r="K40">
        <v>-4.2332125910349997E-3</v>
      </c>
      <c r="L40">
        <v>-4.3240667146399996E-3</v>
      </c>
      <c r="M40">
        <v>-4.2332125910349997E-3</v>
      </c>
      <c r="N40">
        <v>-4.2332125910349997E-3</v>
      </c>
      <c r="O40">
        <v>0</v>
      </c>
      <c r="P40">
        <v>0</v>
      </c>
    </row>
    <row r="41" spans="5:16" x14ac:dyDescent="0.2">
      <c r="E41">
        <v>12</v>
      </c>
      <c r="F41">
        <v>-7.5292791249499998E-3</v>
      </c>
      <c r="G41">
        <v>-3.0117116499799989E-3</v>
      </c>
      <c r="H41">
        <v>-7.5292791249499998E-3</v>
      </c>
      <c r="I41">
        <v>-7.5292791249499998E-3</v>
      </c>
      <c r="J41">
        <v>-7.5292791249499998E-3</v>
      </c>
      <c r="K41">
        <v>-7.5299006905900001E-3</v>
      </c>
      <c r="L41">
        <v>-8.7647050527E-3</v>
      </c>
      <c r="M41">
        <v>-7.5299006905900001E-3</v>
      </c>
      <c r="N41">
        <v>-7.5299006905900001E-3</v>
      </c>
      <c r="O41">
        <v>0</v>
      </c>
      <c r="P41">
        <v>0</v>
      </c>
    </row>
    <row r="42" spans="5:16" x14ac:dyDescent="0.2">
      <c r="E42">
        <v>13</v>
      </c>
      <c r="F42">
        <v>-1.0643826995200001E-2</v>
      </c>
      <c r="G42">
        <v>-4.2575307980800003E-3</v>
      </c>
      <c r="H42">
        <v>-1.0643826995200001E-2</v>
      </c>
      <c r="I42">
        <v>-1.0643826995200001E-2</v>
      </c>
      <c r="J42">
        <v>-1.0643826995200001E-2</v>
      </c>
      <c r="K42">
        <v>-1.06438271928E-2</v>
      </c>
      <c r="L42">
        <v>-1.275467442165E-2</v>
      </c>
      <c r="M42">
        <v>-1.06438271928E-2</v>
      </c>
      <c r="N42">
        <v>-1.06438271928E-2</v>
      </c>
      <c r="O42">
        <v>0</v>
      </c>
      <c r="P42">
        <v>0</v>
      </c>
    </row>
    <row r="43" spans="5:16" x14ac:dyDescent="0.2">
      <c r="E43">
        <v>14</v>
      </c>
      <c r="F43">
        <v>-9.0351923702999999E-3</v>
      </c>
      <c r="G43">
        <v>-3.61407694812E-3</v>
      </c>
      <c r="H43">
        <v>-9.0351923702999999E-3</v>
      </c>
      <c r="I43">
        <v>-9.0351923702999999E-3</v>
      </c>
      <c r="J43">
        <v>-9.0351923702999999E-3</v>
      </c>
      <c r="K43">
        <v>-9.0351923105800001E-3</v>
      </c>
      <c r="L43">
        <v>-9.7031031866000005E-3</v>
      </c>
      <c r="M43">
        <v>-9.0351923105800001E-3</v>
      </c>
      <c r="N43">
        <v>-9.0351923105800001E-3</v>
      </c>
      <c r="O43">
        <v>0</v>
      </c>
      <c r="P43">
        <v>0</v>
      </c>
    </row>
    <row r="44" spans="5:16" x14ac:dyDescent="0.2">
      <c r="E44">
        <v>15</v>
      </c>
      <c r="F44">
        <v>-8.0838820573500003E-3</v>
      </c>
      <c r="G44">
        <v>-3.2335528229400002E-3</v>
      </c>
      <c r="H44">
        <v>-8.0838820573500003E-3</v>
      </c>
      <c r="I44">
        <v>-8.0838820573500003E-3</v>
      </c>
      <c r="J44">
        <v>-8.0838820573500003E-3</v>
      </c>
      <c r="K44">
        <v>-8.0838823043899999E-3</v>
      </c>
      <c r="L44">
        <v>-8.965560912787501E-3</v>
      </c>
      <c r="M44">
        <v>-8.0838823043899999E-3</v>
      </c>
      <c r="N44">
        <v>-8.0838823043899999E-3</v>
      </c>
      <c r="O44">
        <v>0</v>
      </c>
      <c r="P44">
        <v>0</v>
      </c>
    </row>
    <row r="45" spans="5:16" x14ac:dyDescent="0.2">
      <c r="E45">
        <v>16</v>
      </c>
      <c r="F45">
        <v>-4.06829662051E-3</v>
      </c>
      <c r="G45">
        <v>-1.627318648204E-3</v>
      </c>
      <c r="H45">
        <v>-4.06829662051E-3</v>
      </c>
      <c r="I45">
        <v>-4.06829662051E-3</v>
      </c>
      <c r="J45">
        <v>-4.06829662051E-3</v>
      </c>
      <c r="K45">
        <v>-4.0687499267600003E-3</v>
      </c>
      <c r="L45">
        <v>-3.1737553436150001E-3</v>
      </c>
      <c r="M45">
        <v>-4.0687499267600003E-3</v>
      </c>
      <c r="N45">
        <v>-4.0687499267600003E-3</v>
      </c>
      <c r="O45">
        <v>0</v>
      </c>
      <c r="P45">
        <v>0</v>
      </c>
    </row>
    <row r="46" spans="5:16" x14ac:dyDescent="0.2">
      <c r="E46">
        <v>17</v>
      </c>
      <c r="F46">
        <v>-7.23615694485E-3</v>
      </c>
      <c r="G46">
        <v>-2.8944627779399989E-3</v>
      </c>
      <c r="H46">
        <v>-7.23615694485E-3</v>
      </c>
      <c r="I46">
        <v>-7.23615694485E-3</v>
      </c>
      <c r="J46">
        <v>-7.23615694485E-3</v>
      </c>
      <c r="K46">
        <v>-7.2364371395000002E-3</v>
      </c>
      <c r="L46">
        <v>-5.0959363667500007E-3</v>
      </c>
      <c r="M46">
        <v>-7.2364371395000002E-3</v>
      </c>
      <c r="N46">
        <v>-7.2364371395000002E-3</v>
      </c>
      <c r="O46">
        <v>0</v>
      </c>
      <c r="P46">
        <v>0</v>
      </c>
    </row>
    <row r="47" spans="5:16" x14ac:dyDescent="0.2">
      <c r="E47">
        <v>18</v>
      </c>
      <c r="F47">
        <v>-8.8579123990625008E-3</v>
      </c>
      <c r="G47">
        <v>-3.5431649596249989E-3</v>
      </c>
      <c r="H47">
        <v>-8.8579123990625008E-3</v>
      </c>
      <c r="I47">
        <v>-8.8579123990625008E-3</v>
      </c>
      <c r="J47">
        <v>-8.8579123990625008E-3</v>
      </c>
      <c r="K47">
        <v>-8.861196257545001E-3</v>
      </c>
      <c r="L47">
        <v>-6.428542750987502E-3</v>
      </c>
      <c r="M47">
        <v>-8.861196257545001E-3</v>
      </c>
      <c r="N47">
        <v>-8.861196257545001E-3</v>
      </c>
      <c r="O47">
        <v>0</v>
      </c>
      <c r="P47">
        <v>0</v>
      </c>
    </row>
    <row r="48" spans="5:16" x14ac:dyDescent="0.2">
      <c r="E48">
        <v>19</v>
      </c>
      <c r="F48">
        <v>-8.91587523805E-3</v>
      </c>
      <c r="G48">
        <v>-3.5663500952200001E-3</v>
      </c>
      <c r="H48">
        <v>-8.91587523805E-3</v>
      </c>
      <c r="I48">
        <v>-8.91587523805E-3</v>
      </c>
      <c r="J48">
        <v>-8.91587523805E-3</v>
      </c>
      <c r="K48">
        <v>-8.9204900724099995E-3</v>
      </c>
      <c r="L48">
        <v>-8.2413344887999999E-3</v>
      </c>
      <c r="M48">
        <v>-8.9204900724099995E-3</v>
      </c>
      <c r="N48">
        <v>-8.9204900724099995E-3</v>
      </c>
      <c r="O48">
        <v>0</v>
      </c>
      <c r="P48">
        <v>0</v>
      </c>
    </row>
    <row r="49" spans="5:16" x14ac:dyDescent="0.2">
      <c r="E49">
        <v>20</v>
      </c>
      <c r="F49">
        <v>-8.7330795650999993E-3</v>
      </c>
      <c r="G49">
        <v>-3.4932318260400001E-3</v>
      </c>
      <c r="H49">
        <v>-8.7330795650999993E-3</v>
      </c>
      <c r="I49">
        <v>-8.7330795650999993E-3</v>
      </c>
      <c r="J49">
        <v>-8.7330795650999993E-3</v>
      </c>
      <c r="K49">
        <v>-8.7440382342199984E-3</v>
      </c>
      <c r="L49">
        <v>-9.1560740864999983E-3</v>
      </c>
      <c r="M49">
        <v>-8.7440382342199984E-3</v>
      </c>
      <c r="N49">
        <v>-8.7440382342199984E-3</v>
      </c>
      <c r="O49">
        <v>0</v>
      </c>
      <c r="P49">
        <v>0</v>
      </c>
    </row>
    <row r="50" spans="5:16" x14ac:dyDescent="0.2">
      <c r="E50">
        <v>21</v>
      </c>
      <c r="F50">
        <v>-1.1794161028000001E-2</v>
      </c>
      <c r="G50">
        <v>-4.7176644111999984E-3</v>
      </c>
      <c r="H50">
        <v>-1.1794161028000001E-2</v>
      </c>
      <c r="I50">
        <v>-1.1794161028000001E-2</v>
      </c>
      <c r="J50">
        <v>-1.1794161028000001E-2</v>
      </c>
      <c r="K50">
        <v>-1.1794338887100001E-2</v>
      </c>
      <c r="L50">
        <v>-1.2323075167850001E-2</v>
      </c>
      <c r="M50">
        <v>-1.1794338887100001E-2</v>
      </c>
      <c r="N50">
        <v>-1.1794338887100001E-2</v>
      </c>
      <c r="O50">
        <v>0</v>
      </c>
      <c r="P50">
        <v>0</v>
      </c>
    </row>
    <row r="51" spans="5:16" x14ac:dyDescent="0.2">
      <c r="E51">
        <v>22</v>
      </c>
      <c r="F51">
        <v>-1.220469261635E-2</v>
      </c>
      <c r="G51">
        <v>-4.8818770465399973E-3</v>
      </c>
      <c r="H51">
        <v>-1.220469261635E-2</v>
      </c>
      <c r="I51">
        <v>-1.220469261635E-2</v>
      </c>
      <c r="J51">
        <v>-1.220469261635E-2</v>
      </c>
      <c r="K51">
        <v>-1.22046925337E-2</v>
      </c>
      <c r="L51">
        <v>-1.556158602045E-2</v>
      </c>
      <c r="M51">
        <v>-1.22046925337E-2</v>
      </c>
      <c r="N51">
        <v>-1.22046925337E-2</v>
      </c>
      <c r="O51">
        <v>0</v>
      </c>
      <c r="P51">
        <v>0</v>
      </c>
    </row>
    <row r="53" spans="5:16" x14ac:dyDescent="0.2">
      <c r="F53" t="s">
        <v>95</v>
      </c>
    </row>
    <row r="54" spans="5:16" x14ac:dyDescent="0.2">
      <c r="F54" t="s">
        <v>96</v>
      </c>
    </row>
    <row r="55" spans="5:16" x14ac:dyDescent="0.2">
      <c r="G55">
        <v>-2.7834874002599999E-2</v>
      </c>
    </row>
    <row r="56" spans="5:16" x14ac:dyDescent="0.2">
      <c r="E56">
        <v>1</v>
      </c>
      <c r="F56">
        <v>0.5296649064092358</v>
      </c>
      <c r="G56">
        <v>0.2118659625636943</v>
      </c>
      <c r="H56">
        <v>0.5296649064092358</v>
      </c>
      <c r="I56">
        <v>0.5296649064092358</v>
      </c>
      <c r="J56">
        <v>0.5296649064092358</v>
      </c>
      <c r="K56">
        <v>0.52966491121256276</v>
      </c>
      <c r="L56">
        <v>0.60123687199147324</v>
      </c>
      <c r="M56">
        <v>0.52966491121256276</v>
      </c>
      <c r="N56">
        <v>0.52966491121256276</v>
      </c>
      <c r="O56">
        <v>0</v>
      </c>
      <c r="P56">
        <v>0</v>
      </c>
    </row>
    <row r="57" spans="5:16" x14ac:dyDescent="0.2">
      <c r="E57">
        <v>2</v>
      </c>
      <c r="F57">
        <v>0.79747095561404646</v>
      </c>
      <c r="G57">
        <v>0.31898838224561848</v>
      </c>
      <c r="H57">
        <v>0.79747095561404646</v>
      </c>
      <c r="I57">
        <v>0.79747095561404646</v>
      </c>
      <c r="J57">
        <v>0.79747095561404646</v>
      </c>
      <c r="K57">
        <v>0.79747095467098494</v>
      </c>
      <c r="L57">
        <v>1</v>
      </c>
      <c r="M57">
        <v>0.79747095467098494</v>
      </c>
      <c r="N57">
        <v>0.79747095467098494</v>
      </c>
      <c r="O57">
        <v>0</v>
      </c>
      <c r="P57">
        <v>0</v>
      </c>
    </row>
    <row r="58" spans="5:16" x14ac:dyDescent="0.2">
      <c r="E58">
        <v>3</v>
      </c>
      <c r="F58">
        <v>0.49385319236683017</v>
      </c>
      <c r="G58">
        <v>0.19754127694673199</v>
      </c>
      <c r="H58">
        <v>0.49385319236683017</v>
      </c>
      <c r="I58">
        <v>0.49385319236683017</v>
      </c>
      <c r="J58">
        <v>0.49385319236683017</v>
      </c>
      <c r="K58">
        <v>0.49412888224104279</v>
      </c>
      <c r="L58">
        <v>0.58139775990950648</v>
      </c>
      <c r="M58">
        <v>0.49412888224104279</v>
      </c>
      <c r="N58">
        <v>0.49412888224104279</v>
      </c>
      <c r="O58">
        <v>0</v>
      </c>
      <c r="P58">
        <v>0</v>
      </c>
    </row>
    <row r="59" spans="5:16" x14ac:dyDescent="0.2">
      <c r="E59">
        <v>4</v>
      </c>
      <c r="F59">
        <v>0.33064545309026089</v>
      </c>
      <c r="G59">
        <v>0.13225818123610431</v>
      </c>
      <c r="H59">
        <v>0.33064545309026089</v>
      </c>
      <c r="I59">
        <v>0.33064545309026089</v>
      </c>
      <c r="J59">
        <v>0.33064545309026089</v>
      </c>
      <c r="K59">
        <v>0.33064543719760758</v>
      </c>
      <c r="L59">
        <v>0.40876936705325839</v>
      </c>
      <c r="M59">
        <v>0.33064543719760758</v>
      </c>
      <c r="N59">
        <v>0.33064543719760758</v>
      </c>
      <c r="O59">
        <v>0</v>
      </c>
      <c r="P59">
        <v>0</v>
      </c>
    </row>
    <row r="60" spans="5:16" x14ac:dyDescent="0.2">
      <c r="E60">
        <v>5</v>
      </c>
      <c r="F60">
        <v>0.40267765212501189</v>
      </c>
      <c r="G60">
        <v>0.16107106085000469</v>
      </c>
      <c r="H60">
        <v>0.40267765212501189</v>
      </c>
      <c r="I60">
        <v>0.40267765212501189</v>
      </c>
      <c r="J60">
        <v>0.40267765212501189</v>
      </c>
      <c r="K60">
        <v>0.40383330692192232</v>
      </c>
      <c r="L60">
        <v>0.56260033082823524</v>
      </c>
      <c r="M60">
        <v>0.40383330692192232</v>
      </c>
      <c r="N60">
        <v>0.40383330692192232</v>
      </c>
      <c r="O60">
        <v>0</v>
      </c>
      <c r="P60">
        <v>0</v>
      </c>
    </row>
    <row r="61" spans="5:16" x14ac:dyDescent="0.2">
      <c r="E61">
        <v>6</v>
      </c>
      <c r="F61">
        <v>0.6216903970171952</v>
      </c>
      <c r="G61">
        <v>0.2486761588068781</v>
      </c>
      <c r="H61">
        <v>0.6216903970171952</v>
      </c>
      <c r="I61">
        <v>0.6216903970171952</v>
      </c>
      <c r="J61">
        <v>0.6216903970171952</v>
      </c>
      <c r="K61">
        <v>0.6217441347384387</v>
      </c>
      <c r="L61">
        <v>0.85390777875192969</v>
      </c>
      <c r="M61">
        <v>0.6217441347384387</v>
      </c>
      <c r="N61">
        <v>0.6217441347384387</v>
      </c>
      <c r="O61">
        <v>0</v>
      </c>
      <c r="P61">
        <v>0</v>
      </c>
    </row>
    <row r="62" spans="5:16" x14ac:dyDescent="0.2">
      <c r="E62">
        <v>7</v>
      </c>
      <c r="F62">
        <v>0.66739252717525432</v>
      </c>
      <c r="G62">
        <v>0.26695701087010171</v>
      </c>
      <c r="H62">
        <v>0.66739252717525432</v>
      </c>
      <c r="I62">
        <v>0.66739252717525432</v>
      </c>
      <c r="J62">
        <v>0.66739252717525432</v>
      </c>
      <c r="K62">
        <v>0.66739249554227487</v>
      </c>
      <c r="L62">
        <v>0.9240034218979255</v>
      </c>
      <c r="M62">
        <v>0.66739249554227487</v>
      </c>
      <c r="N62">
        <v>0.66739249554227487</v>
      </c>
      <c r="O62">
        <v>0</v>
      </c>
      <c r="P62">
        <v>0</v>
      </c>
    </row>
    <row r="63" spans="5:16" x14ac:dyDescent="0.2">
      <c r="E63">
        <v>8</v>
      </c>
      <c r="F63">
        <v>0.5236991159862403</v>
      </c>
      <c r="G63">
        <v>0.20947964639449601</v>
      </c>
      <c r="H63">
        <v>0.5236991159862403</v>
      </c>
      <c r="I63">
        <v>0.5236991159862403</v>
      </c>
      <c r="J63">
        <v>0.5236991159862403</v>
      </c>
      <c r="K63">
        <v>0.52537476045100939</v>
      </c>
      <c r="L63">
        <v>0.73784155649246397</v>
      </c>
      <c r="M63">
        <v>0.52537476045100939</v>
      </c>
      <c r="N63">
        <v>0.52537476045100939</v>
      </c>
      <c r="O63">
        <v>0</v>
      </c>
      <c r="P63">
        <v>0</v>
      </c>
    </row>
    <row r="64" spans="5:16" x14ac:dyDescent="0.2">
      <c r="E64">
        <v>9</v>
      </c>
      <c r="F64">
        <v>0.33127441275605152</v>
      </c>
      <c r="G64">
        <v>0.1325097651024206</v>
      </c>
      <c r="H64">
        <v>0.33127441275605152</v>
      </c>
      <c r="I64">
        <v>0.33127441275605152</v>
      </c>
      <c r="J64">
        <v>0.33127441275605152</v>
      </c>
      <c r="K64">
        <v>0.33501021050603552</v>
      </c>
      <c r="L64">
        <v>0.44544053652414078</v>
      </c>
      <c r="M64">
        <v>0.33501021050603552</v>
      </c>
      <c r="N64">
        <v>0.33501021050603552</v>
      </c>
      <c r="O64">
        <v>0</v>
      </c>
      <c r="P64">
        <v>0</v>
      </c>
    </row>
    <row r="65" spans="5:16" x14ac:dyDescent="0.2">
      <c r="E65">
        <v>10</v>
      </c>
      <c r="F65">
        <v>0.26381935452677352</v>
      </c>
      <c r="G65">
        <v>0.1055277418107094</v>
      </c>
      <c r="H65">
        <v>0.26381935452677352</v>
      </c>
      <c r="I65">
        <v>0.26381935452677352</v>
      </c>
      <c r="J65">
        <v>0.26381935452677352</v>
      </c>
      <c r="K65">
        <v>0.26605521191754838</v>
      </c>
      <c r="L65">
        <v>0.34394246718902882</v>
      </c>
      <c r="M65">
        <v>0.26605521191754838</v>
      </c>
      <c r="N65">
        <v>0.26605521191754838</v>
      </c>
      <c r="O65">
        <v>0</v>
      </c>
      <c r="P65">
        <v>0</v>
      </c>
    </row>
    <row r="66" spans="5:16" x14ac:dyDescent="0.2">
      <c r="E66">
        <v>11</v>
      </c>
      <c r="F66">
        <v>0.1519863742329976</v>
      </c>
      <c r="G66">
        <v>6.0794549693199022E-2</v>
      </c>
      <c r="H66">
        <v>0.1519863742329976</v>
      </c>
      <c r="I66">
        <v>0.1519863742329976</v>
      </c>
      <c r="J66">
        <v>0.1519863742329976</v>
      </c>
      <c r="K66">
        <v>0.15208305202457839</v>
      </c>
      <c r="L66">
        <v>0.155347091358707</v>
      </c>
      <c r="M66">
        <v>0.15208305202457839</v>
      </c>
      <c r="N66">
        <v>0.15208305202457839</v>
      </c>
      <c r="O66">
        <v>0</v>
      </c>
      <c r="P66">
        <v>0</v>
      </c>
    </row>
    <row r="67" spans="5:16" x14ac:dyDescent="0.2">
      <c r="E67">
        <v>12</v>
      </c>
      <c r="F67">
        <v>0.27049804947012529</v>
      </c>
      <c r="G67">
        <v>0.1081992197880501</v>
      </c>
      <c r="H67">
        <v>0.27049804947012529</v>
      </c>
      <c r="I67">
        <v>0.27049804947012529</v>
      </c>
      <c r="J67">
        <v>0.27049804947012529</v>
      </c>
      <c r="K67">
        <v>0.27052037993369932</v>
      </c>
      <c r="L67">
        <v>0.31488215293812022</v>
      </c>
      <c r="M67">
        <v>0.27052037993369932</v>
      </c>
      <c r="N67">
        <v>0.27052037993369932</v>
      </c>
      <c r="O67">
        <v>0</v>
      </c>
      <c r="P67">
        <v>0</v>
      </c>
    </row>
    <row r="68" spans="5:16" x14ac:dyDescent="0.2">
      <c r="E68">
        <v>13</v>
      </c>
      <c r="F68">
        <v>0.38239177925525297</v>
      </c>
      <c r="G68">
        <v>0.15295671170210121</v>
      </c>
      <c r="H68">
        <v>0.38239177925525297</v>
      </c>
      <c r="I68">
        <v>0.38239177925525297</v>
      </c>
      <c r="J68">
        <v>0.38239177925525297</v>
      </c>
      <c r="K68">
        <v>0.3823917863542613</v>
      </c>
      <c r="L68">
        <v>0.45822641124434821</v>
      </c>
      <c r="M68">
        <v>0.3823917863542613</v>
      </c>
      <c r="N68">
        <v>0.3823917863542613</v>
      </c>
      <c r="O68">
        <v>0</v>
      </c>
      <c r="P68">
        <v>0</v>
      </c>
    </row>
    <row r="69" spans="5:16" x14ac:dyDescent="0.2">
      <c r="E69">
        <v>14</v>
      </c>
      <c r="F69">
        <v>0.32459972225690842</v>
      </c>
      <c r="G69">
        <v>0.12983988890276341</v>
      </c>
      <c r="H69">
        <v>0.32459972225690842</v>
      </c>
      <c r="I69">
        <v>0.32459972225690842</v>
      </c>
      <c r="J69">
        <v>0.32459972225690842</v>
      </c>
      <c r="K69">
        <v>0.32459972011139843</v>
      </c>
      <c r="L69">
        <v>0.34859518982171978</v>
      </c>
      <c r="M69">
        <v>0.32459972011139843</v>
      </c>
      <c r="N69">
        <v>0.32459972011139843</v>
      </c>
      <c r="O69">
        <v>0</v>
      </c>
      <c r="P69">
        <v>0</v>
      </c>
    </row>
    <row r="70" spans="5:16" x14ac:dyDescent="0.2">
      <c r="E70">
        <v>15</v>
      </c>
      <c r="F70">
        <v>0.29042280042636093</v>
      </c>
      <c r="G70">
        <v>0.1161691201705443</v>
      </c>
      <c r="H70">
        <v>0.29042280042636093</v>
      </c>
      <c r="I70">
        <v>0.29042280042636093</v>
      </c>
      <c r="J70">
        <v>0.29042280042636093</v>
      </c>
      <c r="K70">
        <v>0.29042280930155823</v>
      </c>
      <c r="L70">
        <v>0.32209813171599222</v>
      </c>
      <c r="M70">
        <v>0.29042280930155823</v>
      </c>
      <c r="N70">
        <v>0.29042280930155823</v>
      </c>
      <c r="O70">
        <v>0</v>
      </c>
      <c r="P70">
        <v>0</v>
      </c>
    </row>
    <row r="71" spans="5:16" x14ac:dyDescent="0.2">
      <c r="E71">
        <v>16</v>
      </c>
      <c r="F71">
        <v>0.1461582552926228</v>
      </c>
      <c r="G71">
        <v>5.8463302117049122E-2</v>
      </c>
      <c r="H71">
        <v>0.1461582552926228</v>
      </c>
      <c r="I71">
        <v>0.1461582552926228</v>
      </c>
      <c r="J71">
        <v>0.1461582552926228</v>
      </c>
      <c r="K71">
        <v>0.1461745408432582</v>
      </c>
      <c r="L71">
        <v>0.114020826655028</v>
      </c>
      <c r="M71">
        <v>0.1461745408432582</v>
      </c>
      <c r="N71">
        <v>0.1461745408432582</v>
      </c>
      <c r="O71">
        <v>0</v>
      </c>
      <c r="P71">
        <v>0</v>
      </c>
    </row>
    <row r="72" spans="5:16" x14ac:dyDescent="0.2">
      <c r="E72">
        <v>17</v>
      </c>
      <c r="F72">
        <v>0.2599672965709881</v>
      </c>
      <c r="G72">
        <v>0.10398691862839519</v>
      </c>
      <c r="H72">
        <v>0.2599672965709881</v>
      </c>
      <c r="I72">
        <v>0.2599672965709881</v>
      </c>
      <c r="J72">
        <v>0.2599672965709881</v>
      </c>
      <c r="K72">
        <v>0.25997736288743611</v>
      </c>
      <c r="L72">
        <v>0.18307740018057919</v>
      </c>
      <c r="M72">
        <v>0.25997736288743611</v>
      </c>
      <c r="N72">
        <v>0.25997736288743611</v>
      </c>
      <c r="O72">
        <v>0</v>
      </c>
      <c r="P72">
        <v>0</v>
      </c>
    </row>
    <row r="73" spans="5:16" x14ac:dyDescent="0.2">
      <c r="E73">
        <v>18</v>
      </c>
      <c r="F73">
        <v>0.31823073451796841</v>
      </c>
      <c r="G73">
        <v>0.12729229380718729</v>
      </c>
      <c r="H73">
        <v>0.31823073451796841</v>
      </c>
      <c r="I73">
        <v>0.31823073451796841</v>
      </c>
      <c r="J73">
        <v>0.31823073451796841</v>
      </c>
      <c r="K73">
        <v>0.31834871092706563</v>
      </c>
      <c r="L73">
        <v>0.23095282379891591</v>
      </c>
      <c r="M73">
        <v>0.31834871092706563</v>
      </c>
      <c r="N73">
        <v>0.31834871092706563</v>
      </c>
      <c r="O73">
        <v>0</v>
      </c>
      <c r="P73">
        <v>0</v>
      </c>
    </row>
    <row r="74" spans="5:16" x14ac:dyDescent="0.2">
      <c r="E74">
        <v>19</v>
      </c>
      <c r="F74">
        <v>0.32031311646020688</v>
      </c>
      <c r="G74">
        <v>0.12812524658408281</v>
      </c>
      <c r="H74">
        <v>0.32031311646020688</v>
      </c>
      <c r="I74">
        <v>0.32031311646020688</v>
      </c>
      <c r="J74">
        <v>0.32031311646020688</v>
      </c>
      <c r="K74">
        <v>0.32047890971508458</v>
      </c>
      <c r="L74">
        <v>0.29607946089607567</v>
      </c>
      <c r="M74">
        <v>0.32047890971508458</v>
      </c>
      <c r="N74">
        <v>0.32047890971508458</v>
      </c>
      <c r="O74">
        <v>0</v>
      </c>
      <c r="P74">
        <v>0</v>
      </c>
    </row>
    <row r="75" spans="5:16" x14ac:dyDescent="0.2">
      <c r="E75">
        <v>20</v>
      </c>
      <c r="F75">
        <v>0.31374597076617838</v>
      </c>
      <c r="G75">
        <v>0.12549838830647139</v>
      </c>
      <c r="H75">
        <v>0.31374597076617838</v>
      </c>
      <c r="I75">
        <v>0.31374597076617838</v>
      </c>
      <c r="J75">
        <v>0.31374597076617838</v>
      </c>
      <c r="K75">
        <v>0.31413967361243439</v>
      </c>
      <c r="L75">
        <v>0.32894253753923042</v>
      </c>
      <c r="M75">
        <v>0.31413967361243439</v>
      </c>
      <c r="N75">
        <v>0.31413967361243439</v>
      </c>
      <c r="O75">
        <v>0</v>
      </c>
      <c r="P75">
        <v>0</v>
      </c>
    </row>
    <row r="76" spans="5:16" x14ac:dyDescent="0.2">
      <c r="E76">
        <v>21</v>
      </c>
      <c r="F76">
        <v>0.42371885810937499</v>
      </c>
      <c r="G76">
        <v>0.1694875432437499</v>
      </c>
      <c r="H76">
        <v>0.42371885810937499</v>
      </c>
      <c r="I76">
        <v>0.42371885810937499</v>
      </c>
      <c r="J76">
        <v>0.42371885810937499</v>
      </c>
      <c r="K76">
        <v>0.42372524790298371</v>
      </c>
      <c r="L76">
        <v>0.44272070952068721</v>
      </c>
      <c r="M76">
        <v>0.42372524790298371</v>
      </c>
      <c r="N76">
        <v>0.42372524790298371</v>
      </c>
      <c r="O76">
        <v>0</v>
      </c>
      <c r="P76">
        <v>0</v>
      </c>
    </row>
    <row r="77" spans="5:16" x14ac:dyDescent="0.2">
      <c r="E77">
        <v>22</v>
      </c>
      <c r="F77">
        <v>0.43846767961694327</v>
      </c>
      <c r="G77">
        <v>0.17538707184677721</v>
      </c>
      <c r="H77">
        <v>0.43846767961694327</v>
      </c>
      <c r="I77">
        <v>0.43846767961694327</v>
      </c>
      <c r="J77">
        <v>0.43846767961694327</v>
      </c>
      <c r="K77">
        <v>0.43846767664764658</v>
      </c>
      <c r="L77">
        <v>0.55906795263367903</v>
      </c>
      <c r="M77">
        <v>0.43846767664764658</v>
      </c>
      <c r="N77">
        <v>0.43846767664764658</v>
      </c>
      <c r="O77">
        <v>0</v>
      </c>
      <c r="P77">
        <v>0</v>
      </c>
    </row>
    <row r="79" spans="5:16" x14ac:dyDescent="0.2">
      <c r="F79" t="s">
        <v>97</v>
      </c>
    </row>
    <row r="80" spans="5:16" x14ac:dyDescent="0.2">
      <c r="F80" t="s">
        <v>98</v>
      </c>
    </row>
    <row r="81" spans="5:16" x14ac:dyDescent="0.2">
      <c r="E81">
        <v>1</v>
      </c>
      <c r="F81">
        <v>3.1186596256369432</v>
      </c>
      <c r="G81">
        <v>1.8474638502547771</v>
      </c>
      <c r="H81">
        <v>3.1186596256369432</v>
      </c>
      <c r="I81">
        <v>3.1186596256369432</v>
      </c>
      <c r="J81">
        <v>3.1186596256369432</v>
      </c>
      <c r="K81">
        <v>3.118659644850251</v>
      </c>
      <c r="L81">
        <v>3.404947487965893</v>
      </c>
      <c r="M81">
        <v>3.118659644850251</v>
      </c>
      <c r="N81">
        <v>3.118659644850251</v>
      </c>
      <c r="O81">
        <v>1</v>
      </c>
      <c r="P81">
        <v>1</v>
      </c>
    </row>
    <row r="82" spans="5:16" x14ac:dyDescent="0.2">
      <c r="E82">
        <v>2</v>
      </c>
      <c r="F82">
        <v>4.1898838224561858</v>
      </c>
      <c r="G82">
        <v>2.2759535289824742</v>
      </c>
      <c r="H82">
        <v>4.1898838224561858</v>
      </c>
      <c r="I82">
        <v>4.1898838224561858</v>
      </c>
      <c r="J82">
        <v>4.1898838224561858</v>
      </c>
      <c r="K82">
        <v>4.1898838186839402</v>
      </c>
      <c r="L82">
        <v>5</v>
      </c>
      <c r="M82">
        <v>4.1898838186839402</v>
      </c>
      <c r="N82">
        <v>4.1898838186839402</v>
      </c>
      <c r="O82">
        <v>1</v>
      </c>
      <c r="P82">
        <v>1</v>
      </c>
    </row>
    <row r="83" spans="5:16" x14ac:dyDescent="0.2">
      <c r="E83">
        <v>3</v>
      </c>
      <c r="F83">
        <v>2.9754127694673209</v>
      </c>
      <c r="G83">
        <v>1.7901651077869281</v>
      </c>
      <c r="H83">
        <v>2.9754127694673209</v>
      </c>
      <c r="I83">
        <v>2.9754127694673209</v>
      </c>
      <c r="J83">
        <v>2.9754127694673209</v>
      </c>
      <c r="K83">
        <v>2.9765155289641712</v>
      </c>
      <c r="L83">
        <v>3.3255910396380259</v>
      </c>
      <c r="M83">
        <v>2.9765155289641712</v>
      </c>
      <c r="N83">
        <v>2.9765155289641712</v>
      </c>
      <c r="O83">
        <v>1</v>
      </c>
      <c r="P83">
        <v>1</v>
      </c>
    </row>
    <row r="84" spans="5:16" x14ac:dyDescent="0.2">
      <c r="E84">
        <v>4</v>
      </c>
      <c r="F84">
        <v>2.3225818123610442</v>
      </c>
      <c r="G84">
        <v>1.5290327249444171</v>
      </c>
      <c r="H84">
        <v>2.3225818123610442</v>
      </c>
      <c r="I84">
        <v>2.3225818123610442</v>
      </c>
      <c r="J84">
        <v>2.3225818123610442</v>
      </c>
      <c r="K84">
        <v>2.322581748790431</v>
      </c>
      <c r="L84">
        <v>2.635077468213034</v>
      </c>
      <c r="M84">
        <v>2.322581748790431</v>
      </c>
      <c r="N84">
        <v>2.322581748790431</v>
      </c>
      <c r="O84">
        <v>1</v>
      </c>
      <c r="P84">
        <v>1</v>
      </c>
    </row>
    <row r="85" spans="5:16" x14ac:dyDescent="0.2">
      <c r="E85">
        <v>5</v>
      </c>
      <c r="F85">
        <v>2.6107106085000482</v>
      </c>
      <c r="G85">
        <v>1.6442842434000191</v>
      </c>
      <c r="H85">
        <v>2.6107106085000482</v>
      </c>
      <c r="I85">
        <v>2.6107106085000482</v>
      </c>
      <c r="J85">
        <v>2.6107106085000482</v>
      </c>
      <c r="K85">
        <v>2.6153332276876888</v>
      </c>
      <c r="L85">
        <v>3.250401323312941</v>
      </c>
      <c r="M85">
        <v>2.6153332276876888</v>
      </c>
      <c r="N85">
        <v>2.6153332276876888</v>
      </c>
      <c r="O85">
        <v>1</v>
      </c>
      <c r="P85">
        <v>1</v>
      </c>
    </row>
    <row r="86" spans="5:16" x14ac:dyDescent="0.2">
      <c r="E86">
        <v>6</v>
      </c>
      <c r="F86">
        <v>3.4867615880687808</v>
      </c>
      <c r="G86">
        <v>1.994704635227512</v>
      </c>
      <c r="H86">
        <v>3.4867615880687808</v>
      </c>
      <c r="I86">
        <v>3.4867615880687808</v>
      </c>
      <c r="J86">
        <v>3.4867615880687808</v>
      </c>
      <c r="K86">
        <v>3.4869765389537548</v>
      </c>
      <c r="L86">
        <v>4.4156311150077183</v>
      </c>
      <c r="M86">
        <v>3.4869765389537548</v>
      </c>
      <c r="N86">
        <v>3.4869765389537548</v>
      </c>
      <c r="O86">
        <v>1</v>
      </c>
      <c r="P86">
        <v>1</v>
      </c>
    </row>
    <row r="87" spans="5:16" x14ac:dyDescent="0.2">
      <c r="E87">
        <v>7</v>
      </c>
      <c r="F87">
        <v>3.6695701087010169</v>
      </c>
      <c r="G87">
        <v>2.0678280434804059</v>
      </c>
      <c r="H87">
        <v>3.6695701087010169</v>
      </c>
      <c r="I87">
        <v>3.6695701087010169</v>
      </c>
      <c r="J87">
        <v>3.6695701087010169</v>
      </c>
      <c r="K87">
        <v>3.669569982169099</v>
      </c>
      <c r="L87">
        <v>4.6960136875917016</v>
      </c>
      <c r="M87">
        <v>3.669569982169099</v>
      </c>
      <c r="N87">
        <v>3.669569982169099</v>
      </c>
      <c r="O87">
        <v>1</v>
      </c>
      <c r="P87">
        <v>1</v>
      </c>
    </row>
    <row r="88" spans="5:16" x14ac:dyDescent="0.2">
      <c r="E88">
        <v>8</v>
      </c>
      <c r="F88">
        <v>3.0947964639449612</v>
      </c>
      <c r="G88">
        <v>1.837918585577984</v>
      </c>
      <c r="H88">
        <v>3.0947964639449612</v>
      </c>
      <c r="I88">
        <v>3.0947964639449612</v>
      </c>
      <c r="J88">
        <v>3.0947964639449612</v>
      </c>
      <c r="K88">
        <v>3.101499041804038</v>
      </c>
      <c r="L88">
        <v>3.9513662259698559</v>
      </c>
      <c r="M88">
        <v>3.101499041804038</v>
      </c>
      <c r="N88">
        <v>3.101499041804038</v>
      </c>
      <c r="O88">
        <v>1</v>
      </c>
      <c r="P88">
        <v>1</v>
      </c>
    </row>
    <row r="89" spans="5:16" x14ac:dyDescent="0.2">
      <c r="E89">
        <v>9</v>
      </c>
      <c r="F89">
        <v>2.3250976510242061</v>
      </c>
      <c r="G89">
        <v>1.5300390604096821</v>
      </c>
      <c r="H89">
        <v>2.3250976510242061</v>
      </c>
      <c r="I89">
        <v>2.3250976510242061</v>
      </c>
      <c r="J89">
        <v>2.3250976510242061</v>
      </c>
      <c r="K89">
        <v>2.3400408420241421</v>
      </c>
      <c r="L89">
        <v>2.7817621460965629</v>
      </c>
      <c r="M89">
        <v>2.3400408420241421</v>
      </c>
      <c r="N89">
        <v>2.3400408420241421</v>
      </c>
      <c r="O89">
        <v>1</v>
      </c>
      <c r="P89">
        <v>1</v>
      </c>
    </row>
    <row r="90" spans="5:16" x14ac:dyDescent="0.2">
      <c r="E90">
        <v>10</v>
      </c>
      <c r="F90">
        <v>2.0552774181070941</v>
      </c>
      <c r="G90">
        <v>1.4221109672428369</v>
      </c>
      <c r="H90">
        <v>2.0552774181070941</v>
      </c>
      <c r="I90">
        <v>2.0552774181070941</v>
      </c>
      <c r="J90">
        <v>2.0552774181070941</v>
      </c>
      <c r="K90">
        <v>2.0642208476701929</v>
      </c>
      <c r="L90">
        <v>2.3757698687561151</v>
      </c>
      <c r="M90">
        <v>2.0642208476701929</v>
      </c>
      <c r="N90">
        <v>2.0642208476701929</v>
      </c>
      <c r="O90">
        <v>1</v>
      </c>
      <c r="P90">
        <v>1</v>
      </c>
    </row>
    <row r="91" spans="5:16" x14ac:dyDescent="0.2">
      <c r="E91">
        <v>11</v>
      </c>
      <c r="F91">
        <v>1.60794549693199</v>
      </c>
      <c r="G91">
        <v>1.2431781987727959</v>
      </c>
      <c r="H91">
        <v>1.60794549693199</v>
      </c>
      <c r="I91">
        <v>1.60794549693199</v>
      </c>
      <c r="J91">
        <v>1.60794549693199</v>
      </c>
      <c r="K91">
        <v>1.608332208098314</v>
      </c>
      <c r="L91">
        <v>1.621388365434828</v>
      </c>
      <c r="M91">
        <v>1.608332208098314</v>
      </c>
      <c r="N91">
        <v>1.608332208098314</v>
      </c>
      <c r="O91">
        <v>1</v>
      </c>
      <c r="P91">
        <v>1</v>
      </c>
    </row>
    <row r="92" spans="5:16" x14ac:dyDescent="0.2">
      <c r="E92">
        <v>12</v>
      </c>
      <c r="F92">
        <v>2.0819921978805009</v>
      </c>
      <c r="G92">
        <v>1.4327968791522001</v>
      </c>
      <c r="H92">
        <v>2.0819921978805009</v>
      </c>
      <c r="I92">
        <v>2.0819921978805009</v>
      </c>
      <c r="J92">
        <v>2.0819921978805009</v>
      </c>
      <c r="K92">
        <v>2.082081519734797</v>
      </c>
      <c r="L92">
        <v>2.2595286117524811</v>
      </c>
      <c r="M92">
        <v>2.082081519734797</v>
      </c>
      <c r="N92">
        <v>2.082081519734797</v>
      </c>
      <c r="O92">
        <v>1</v>
      </c>
      <c r="P92">
        <v>1</v>
      </c>
    </row>
    <row r="93" spans="5:16" x14ac:dyDescent="0.2">
      <c r="E93">
        <v>13</v>
      </c>
      <c r="F93">
        <v>2.5295671170210121</v>
      </c>
      <c r="G93">
        <v>1.6118268468084049</v>
      </c>
      <c r="H93">
        <v>2.5295671170210121</v>
      </c>
      <c r="I93">
        <v>2.5295671170210121</v>
      </c>
      <c r="J93">
        <v>2.5295671170210121</v>
      </c>
      <c r="K93">
        <v>2.5295671454170452</v>
      </c>
      <c r="L93">
        <v>2.8329056449773931</v>
      </c>
      <c r="M93">
        <v>2.5295671454170452</v>
      </c>
      <c r="N93">
        <v>2.5295671454170452</v>
      </c>
      <c r="O93">
        <v>1</v>
      </c>
      <c r="P93">
        <v>1</v>
      </c>
    </row>
    <row r="94" spans="5:16" x14ac:dyDescent="0.2">
      <c r="E94">
        <v>14</v>
      </c>
      <c r="F94">
        <v>2.298398889027633</v>
      </c>
      <c r="G94">
        <v>1.5193595556110531</v>
      </c>
      <c r="H94">
        <v>2.298398889027633</v>
      </c>
      <c r="I94">
        <v>2.298398889027633</v>
      </c>
      <c r="J94">
        <v>2.298398889027633</v>
      </c>
      <c r="K94">
        <v>2.298398880445593</v>
      </c>
      <c r="L94">
        <v>2.39438075928688</v>
      </c>
      <c r="M94">
        <v>2.298398880445593</v>
      </c>
      <c r="N94">
        <v>2.298398880445593</v>
      </c>
      <c r="O94">
        <v>1</v>
      </c>
      <c r="P94">
        <v>1</v>
      </c>
    </row>
    <row r="95" spans="5:16" x14ac:dyDescent="0.2">
      <c r="E95">
        <v>15</v>
      </c>
      <c r="F95">
        <v>2.1616912017054442</v>
      </c>
      <c r="G95">
        <v>1.464676480682177</v>
      </c>
      <c r="H95">
        <v>2.1616912017054442</v>
      </c>
      <c r="I95">
        <v>2.1616912017054442</v>
      </c>
      <c r="J95">
        <v>2.1616912017054442</v>
      </c>
      <c r="K95">
        <v>2.1616912372062331</v>
      </c>
      <c r="L95">
        <v>2.288392526863968</v>
      </c>
      <c r="M95">
        <v>2.1616912372062331</v>
      </c>
      <c r="N95">
        <v>2.1616912372062331</v>
      </c>
      <c r="O95">
        <v>1</v>
      </c>
      <c r="P95">
        <v>1</v>
      </c>
    </row>
    <row r="96" spans="5:16" x14ac:dyDescent="0.2">
      <c r="E96">
        <v>16</v>
      </c>
      <c r="F96">
        <v>1.5846330211704911</v>
      </c>
      <c r="G96">
        <v>1.233853208468197</v>
      </c>
      <c r="H96">
        <v>1.5846330211704911</v>
      </c>
      <c r="I96">
        <v>1.5846330211704911</v>
      </c>
      <c r="J96">
        <v>1.5846330211704911</v>
      </c>
      <c r="K96">
        <v>1.584698163373033</v>
      </c>
      <c r="L96">
        <v>1.456083306620112</v>
      </c>
      <c r="M96">
        <v>1.584698163373033</v>
      </c>
      <c r="N96">
        <v>1.584698163373033</v>
      </c>
      <c r="O96">
        <v>1</v>
      </c>
      <c r="P96">
        <v>1</v>
      </c>
    </row>
    <row r="97" spans="5:16" x14ac:dyDescent="0.2">
      <c r="E97">
        <v>17</v>
      </c>
      <c r="F97">
        <v>2.0398691862839522</v>
      </c>
      <c r="G97">
        <v>1.4159476745135811</v>
      </c>
      <c r="H97">
        <v>2.0398691862839522</v>
      </c>
      <c r="I97">
        <v>2.0398691862839522</v>
      </c>
      <c r="J97">
        <v>2.0398691862839522</v>
      </c>
      <c r="K97">
        <v>2.039909451549744</v>
      </c>
      <c r="L97">
        <v>1.7323096007223171</v>
      </c>
      <c r="M97">
        <v>2.039909451549744</v>
      </c>
      <c r="N97">
        <v>2.039909451549744</v>
      </c>
      <c r="O97">
        <v>1</v>
      </c>
      <c r="P97">
        <v>1</v>
      </c>
    </row>
    <row r="98" spans="5:16" x14ac:dyDescent="0.2">
      <c r="E98">
        <v>18</v>
      </c>
      <c r="F98">
        <v>2.2729229380718738</v>
      </c>
      <c r="G98">
        <v>1.509169175228749</v>
      </c>
      <c r="H98">
        <v>2.2729229380718738</v>
      </c>
      <c r="I98">
        <v>2.2729229380718738</v>
      </c>
      <c r="J98">
        <v>2.2729229380718738</v>
      </c>
      <c r="K98">
        <v>2.2733948437082629</v>
      </c>
      <c r="L98">
        <v>1.9238112951956641</v>
      </c>
      <c r="M98">
        <v>2.2733948437082629</v>
      </c>
      <c r="N98">
        <v>2.2733948437082629</v>
      </c>
      <c r="O98">
        <v>1</v>
      </c>
      <c r="P98">
        <v>1</v>
      </c>
    </row>
    <row r="99" spans="5:16" x14ac:dyDescent="0.2">
      <c r="E99">
        <v>19</v>
      </c>
      <c r="F99">
        <v>2.281252465840828</v>
      </c>
      <c r="G99">
        <v>1.512500986336331</v>
      </c>
      <c r="H99">
        <v>2.281252465840828</v>
      </c>
      <c r="I99">
        <v>2.281252465840828</v>
      </c>
      <c r="J99">
        <v>2.281252465840828</v>
      </c>
      <c r="K99">
        <v>2.281915638860339</v>
      </c>
      <c r="L99">
        <v>2.1843178435843029</v>
      </c>
      <c r="M99">
        <v>2.281915638860339</v>
      </c>
      <c r="N99">
        <v>2.281915638860339</v>
      </c>
      <c r="O99">
        <v>1</v>
      </c>
      <c r="P99">
        <v>1</v>
      </c>
    </row>
    <row r="100" spans="5:16" x14ac:dyDescent="0.2">
      <c r="E100">
        <v>20</v>
      </c>
      <c r="F100">
        <v>2.254983883064714</v>
      </c>
      <c r="G100">
        <v>1.501993553225885</v>
      </c>
      <c r="H100">
        <v>2.254983883064714</v>
      </c>
      <c r="I100">
        <v>2.254983883064714</v>
      </c>
      <c r="J100">
        <v>2.254983883064714</v>
      </c>
      <c r="K100">
        <v>2.2565586944497378</v>
      </c>
      <c r="L100">
        <v>2.3157701501569221</v>
      </c>
      <c r="M100">
        <v>2.2565586944497378</v>
      </c>
      <c r="N100">
        <v>2.2565586944497378</v>
      </c>
      <c r="O100">
        <v>1</v>
      </c>
      <c r="P100">
        <v>1</v>
      </c>
    </row>
    <row r="101" spans="5:16" x14ac:dyDescent="0.2">
      <c r="E101">
        <v>21</v>
      </c>
      <c r="F101">
        <v>2.6948754324375002</v>
      </c>
      <c r="G101">
        <v>1.6779501729749999</v>
      </c>
      <c r="H101">
        <v>2.6948754324375002</v>
      </c>
      <c r="I101">
        <v>2.6948754324375002</v>
      </c>
      <c r="J101">
        <v>2.6948754324375002</v>
      </c>
      <c r="K101">
        <v>2.6949009916119349</v>
      </c>
      <c r="L101">
        <v>2.7708828380827488</v>
      </c>
      <c r="M101">
        <v>2.6949009916119349</v>
      </c>
      <c r="N101">
        <v>2.6949009916119349</v>
      </c>
      <c r="O101">
        <v>1</v>
      </c>
      <c r="P101">
        <v>1</v>
      </c>
    </row>
    <row r="102" spans="5:16" x14ac:dyDescent="0.2">
      <c r="E102">
        <v>22</v>
      </c>
      <c r="F102">
        <v>2.7538707184677729</v>
      </c>
      <c r="G102">
        <v>1.7015482873871091</v>
      </c>
      <c r="H102">
        <v>2.7538707184677729</v>
      </c>
      <c r="I102">
        <v>2.7538707184677729</v>
      </c>
      <c r="J102">
        <v>2.7538707184677729</v>
      </c>
      <c r="K102">
        <v>2.7538707065905861</v>
      </c>
      <c r="L102">
        <v>3.2362718105347161</v>
      </c>
      <c r="M102">
        <v>2.7538707065905861</v>
      </c>
      <c r="N102">
        <v>2.7538707065905861</v>
      </c>
      <c r="O102">
        <v>1</v>
      </c>
      <c r="P10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topLeftCell="A2" workbookViewId="0">
      <selection activeCell="H23" sqref="H23"/>
    </sheetView>
  </sheetViews>
  <sheetFormatPr baseColWidth="10" defaultColWidth="8.83203125" defaultRowHeight="15" x14ac:dyDescent="0.2"/>
  <cols>
    <col min="1" max="1" width="33.83203125" customWidth="1"/>
    <col min="2" max="11" width="11" customWidth="1"/>
    <col min="14" max="14" width="30" customWidth="1"/>
  </cols>
  <sheetData>
    <row r="1" spans="1:14" ht="236.25" customHeight="1" x14ac:dyDescent="0.2">
      <c r="A1" s="3" t="s">
        <v>99</v>
      </c>
      <c r="B1" s="3" t="s">
        <v>100</v>
      </c>
      <c r="C1" s="3" t="s">
        <v>101</v>
      </c>
      <c r="D1" s="3" t="s">
        <v>102</v>
      </c>
      <c r="E1" s="3" t="s">
        <v>103</v>
      </c>
      <c r="F1" s="3" t="s">
        <v>104</v>
      </c>
      <c r="G1" s="3" t="s">
        <v>105</v>
      </c>
      <c r="H1" s="3" t="s">
        <v>106</v>
      </c>
      <c r="I1" s="3" t="s">
        <v>107</v>
      </c>
      <c r="J1" s="3" t="s">
        <v>108</v>
      </c>
      <c r="K1" s="3" t="s">
        <v>109</v>
      </c>
      <c r="L1" s="3" t="s">
        <v>93</v>
      </c>
      <c r="N1" s="3" t="s">
        <v>110</v>
      </c>
    </row>
    <row r="2" spans="1:14" x14ac:dyDescent="0.2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</row>
    <row r="3" spans="1:14" ht="144" customHeight="1" x14ac:dyDescent="0.2">
      <c r="A3" t="s">
        <v>123</v>
      </c>
      <c r="B3" s="6">
        <v>0.5</v>
      </c>
      <c r="C3" s="6">
        <v>0.2</v>
      </c>
      <c r="D3" s="6">
        <v>0.5</v>
      </c>
      <c r="E3" s="6">
        <v>0.5</v>
      </c>
      <c r="F3" s="6">
        <v>0.5</v>
      </c>
      <c r="G3" s="3" t="s">
        <v>124</v>
      </c>
      <c r="H3" s="3" t="s">
        <v>125</v>
      </c>
      <c r="I3" s="3" t="s">
        <v>126</v>
      </c>
      <c r="J3" s="3" t="s">
        <v>124</v>
      </c>
      <c r="K3" s="6">
        <v>0</v>
      </c>
      <c r="L3" s="6">
        <v>0</v>
      </c>
    </row>
    <row r="4" spans="1:14" x14ac:dyDescent="0.2">
      <c r="A4" t="s">
        <v>127</v>
      </c>
      <c r="B4">
        <v>1</v>
      </c>
      <c r="C4">
        <v>1</v>
      </c>
      <c r="D4">
        <v>-1</v>
      </c>
      <c r="E4">
        <v>2</v>
      </c>
      <c r="F4">
        <v>3</v>
      </c>
      <c r="G4">
        <v>3</v>
      </c>
      <c r="H4">
        <v>6</v>
      </c>
      <c r="I4">
        <v>1</v>
      </c>
      <c r="J4">
        <v>2</v>
      </c>
      <c r="K4">
        <v>1</v>
      </c>
      <c r="L4">
        <v>1</v>
      </c>
    </row>
    <row r="5" spans="1:14" x14ac:dyDescent="0.2">
      <c r="A5" t="s">
        <v>128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</row>
    <row r="6" spans="1:14" x14ac:dyDescent="0.2">
      <c r="A6" t="s">
        <v>129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BB3A-9A34-4748-89BE-C4CBF4562A42}">
  <dimension ref="A1:B12"/>
  <sheetViews>
    <sheetView workbookViewId="0">
      <selection activeCell="B2" sqref="B2"/>
    </sheetView>
  </sheetViews>
  <sheetFormatPr baseColWidth="10" defaultRowHeight="15" x14ac:dyDescent="0.2"/>
  <cols>
    <col min="2" max="2" width="42.6640625" customWidth="1"/>
  </cols>
  <sheetData>
    <row r="1" spans="1:2" x14ac:dyDescent="0.2">
      <c r="A1" t="s">
        <v>254</v>
      </c>
      <c r="B1" t="s">
        <v>255</v>
      </c>
    </row>
    <row r="2" spans="1:2" ht="16" x14ac:dyDescent="0.2">
      <c r="A2" t="s">
        <v>263</v>
      </c>
      <c r="B2" s="3" t="s">
        <v>100</v>
      </c>
    </row>
    <row r="3" spans="1:2" ht="16" x14ac:dyDescent="0.2">
      <c r="A3" t="s">
        <v>264</v>
      </c>
      <c r="B3" s="3" t="s">
        <v>101</v>
      </c>
    </row>
    <row r="4" spans="1:2" ht="32" x14ac:dyDescent="0.2">
      <c r="A4" t="s">
        <v>265</v>
      </c>
      <c r="B4" s="3" t="s">
        <v>102</v>
      </c>
    </row>
    <row r="5" spans="1:2" ht="16" x14ac:dyDescent="0.2">
      <c r="A5" t="s">
        <v>266</v>
      </c>
      <c r="B5" s="3" t="s">
        <v>103</v>
      </c>
    </row>
    <row r="6" spans="1:2" ht="32" x14ac:dyDescent="0.2">
      <c r="A6" t="s">
        <v>267</v>
      </c>
      <c r="B6" s="3" t="s">
        <v>104</v>
      </c>
    </row>
    <row r="7" spans="1:2" ht="48" x14ac:dyDescent="0.2">
      <c r="A7" t="s">
        <v>268</v>
      </c>
      <c r="B7" s="3" t="s">
        <v>105</v>
      </c>
    </row>
    <row r="8" spans="1:2" ht="48" x14ac:dyDescent="0.2">
      <c r="A8" t="s">
        <v>269</v>
      </c>
      <c r="B8" s="3" t="s">
        <v>106</v>
      </c>
    </row>
    <row r="9" spans="1:2" ht="32" x14ac:dyDescent="0.2">
      <c r="A9" t="s">
        <v>270</v>
      </c>
      <c r="B9" s="3" t="s">
        <v>107</v>
      </c>
    </row>
    <row r="10" spans="1:2" ht="32" x14ac:dyDescent="0.2">
      <c r="A10" t="s">
        <v>271</v>
      </c>
      <c r="B10" s="3" t="s">
        <v>108</v>
      </c>
    </row>
    <row r="11" spans="1:2" ht="32" x14ac:dyDescent="0.2">
      <c r="A11" t="s">
        <v>272</v>
      </c>
      <c r="B11" s="3" t="s">
        <v>109</v>
      </c>
    </row>
    <row r="12" spans="1:2" ht="16" x14ac:dyDescent="0.2">
      <c r="A12" t="s">
        <v>273</v>
      </c>
      <c r="B12" s="3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CC92-1A68-524F-93AC-1E4C73168749}">
  <dimension ref="A1:I22"/>
  <sheetViews>
    <sheetView workbookViewId="0">
      <selection activeCell="I1" sqref="I1"/>
    </sheetView>
  </sheetViews>
  <sheetFormatPr baseColWidth="10" defaultRowHeight="15" x14ac:dyDescent="0.2"/>
  <cols>
    <col min="4" max="5" width="13.33203125" customWidth="1"/>
  </cols>
  <sheetData>
    <row r="1" spans="1:9" ht="16" x14ac:dyDescent="0.2">
      <c r="A1" s="8" t="s">
        <v>130</v>
      </c>
      <c r="B1" s="8" t="s">
        <v>131</v>
      </c>
      <c r="C1" s="8" t="s">
        <v>132</v>
      </c>
      <c r="D1" s="8" t="s">
        <v>133</v>
      </c>
      <c r="E1" s="8" t="s">
        <v>134</v>
      </c>
      <c r="I1" s="9" t="s">
        <v>175</v>
      </c>
    </row>
    <row r="2" spans="1:9" ht="16" x14ac:dyDescent="0.2">
      <c r="A2" s="9">
        <v>1</v>
      </c>
      <c r="B2" s="9" t="s">
        <v>135</v>
      </c>
      <c r="C2" s="9" t="s">
        <v>136</v>
      </c>
      <c r="D2" s="10">
        <v>0.2</v>
      </c>
      <c r="E2" s="9" t="s">
        <v>137</v>
      </c>
    </row>
    <row r="3" spans="1:9" ht="16" x14ac:dyDescent="0.2">
      <c r="A3" s="9">
        <v>2</v>
      </c>
      <c r="B3" s="9" t="s">
        <v>138</v>
      </c>
      <c r="C3" s="9" t="s">
        <v>139</v>
      </c>
      <c r="D3" s="10">
        <v>0.2</v>
      </c>
      <c r="E3" s="9" t="s">
        <v>140</v>
      </c>
    </row>
    <row r="4" spans="1:9" ht="16" x14ac:dyDescent="0.2">
      <c r="A4" s="9">
        <v>3</v>
      </c>
      <c r="B4" s="9" t="s">
        <v>141</v>
      </c>
      <c r="C4" s="9" t="s">
        <v>142</v>
      </c>
      <c r="D4" s="10">
        <v>0.5</v>
      </c>
      <c r="E4" s="9" t="s">
        <v>143</v>
      </c>
    </row>
    <row r="5" spans="1:9" ht="16" x14ac:dyDescent="0.2">
      <c r="A5" s="9">
        <v>4</v>
      </c>
      <c r="B5" s="9" t="s">
        <v>144</v>
      </c>
      <c r="C5" s="9" t="s">
        <v>136</v>
      </c>
      <c r="D5" s="10">
        <v>0.2</v>
      </c>
      <c r="E5" s="9" t="s">
        <v>145</v>
      </c>
    </row>
    <row r="6" spans="1:9" ht="16" x14ac:dyDescent="0.2">
      <c r="A6" s="9">
        <v>5</v>
      </c>
      <c r="B6" s="9" t="s">
        <v>146</v>
      </c>
      <c r="C6" s="9" t="s">
        <v>142</v>
      </c>
      <c r="D6" s="10">
        <v>0.2</v>
      </c>
      <c r="E6" s="9" t="s">
        <v>147</v>
      </c>
    </row>
    <row r="7" spans="1:9" ht="16" x14ac:dyDescent="0.2">
      <c r="A7" s="9">
        <v>6</v>
      </c>
      <c r="B7" s="9" t="s">
        <v>148</v>
      </c>
      <c r="C7" s="9" t="s">
        <v>142</v>
      </c>
      <c r="D7" s="9" t="s">
        <v>149</v>
      </c>
      <c r="E7" s="9" t="s">
        <v>147</v>
      </c>
    </row>
    <row r="8" spans="1:9" ht="16" x14ac:dyDescent="0.2">
      <c r="A8" s="9">
        <v>7</v>
      </c>
      <c r="B8" s="9" t="s">
        <v>150</v>
      </c>
      <c r="C8" s="9" t="s">
        <v>142</v>
      </c>
      <c r="D8" s="9" t="s">
        <v>151</v>
      </c>
      <c r="E8" s="9" t="s">
        <v>152</v>
      </c>
    </row>
    <row r="9" spans="1:9" ht="16" x14ac:dyDescent="0.2">
      <c r="A9" s="9">
        <v>8</v>
      </c>
      <c r="B9" s="9" t="s">
        <v>153</v>
      </c>
      <c r="C9" s="9" t="s">
        <v>154</v>
      </c>
      <c r="D9" s="9" t="s">
        <v>155</v>
      </c>
      <c r="E9" s="9" t="s">
        <v>156</v>
      </c>
    </row>
    <row r="10" spans="1:9" ht="16" x14ac:dyDescent="0.2">
      <c r="A10" s="9">
        <v>9</v>
      </c>
      <c r="B10" s="9" t="s">
        <v>157</v>
      </c>
      <c r="C10" s="9" t="s">
        <v>154</v>
      </c>
      <c r="D10" s="9" t="s">
        <v>149</v>
      </c>
      <c r="E10" s="9" t="s">
        <v>158</v>
      </c>
    </row>
    <row r="11" spans="1:9" ht="16" x14ac:dyDescent="0.2">
      <c r="A11" s="9">
        <v>10</v>
      </c>
      <c r="B11" s="9" t="s">
        <v>159</v>
      </c>
      <c r="C11" s="9" t="s">
        <v>160</v>
      </c>
      <c r="D11" s="10">
        <v>0</v>
      </c>
      <c r="E11" s="9" t="s">
        <v>161</v>
      </c>
    </row>
    <row r="12" spans="1:9" ht="16" x14ac:dyDescent="0.2">
      <c r="A12" s="9">
        <v>11</v>
      </c>
      <c r="B12" s="9" t="s">
        <v>93</v>
      </c>
      <c r="C12" s="9" t="s">
        <v>160</v>
      </c>
      <c r="D12" s="10">
        <v>0</v>
      </c>
      <c r="E12" s="9" t="s">
        <v>162</v>
      </c>
    </row>
    <row r="13" spans="1:9" ht="16" x14ac:dyDescent="0.2">
      <c r="A13" s="9">
        <v>12</v>
      </c>
      <c r="B13" s="9" t="s">
        <v>163</v>
      </c>
      <c r="C13" s="9" t="s">
        <v>142</v>
      </c>
      <c r="D13" s="10">
        <v>0.5</v>
      </c>
      <c r="E13" s="9" t="s">
        <v>164</v>
      </c>
    </row>
    <row r="15" spans="1:9" ht="16" x14ac:dyDescent="0.2">
      <c r="A15" s="8" t="s">
        <v>165</v>
      </c>
      <c r="B15" s="8" t="s">
        <v>166</v>
      </c>
      <c r="C15" s="8" t="s">
        <v>167</v>
      </c>
      <c r="D15" s="8" t="s">
        <v>168</v>
      </c>
      <c r="E15" s="8" t="s">
        <v>4</v>
      </c>
      <c r="F15" s="8" t="s">
        <v>5</v>
      </c>
      <c r="G15" s="8" t="s">
        <v>6</v>
      </c>
    </row>
    <row r="16" spans="1:9" ht="16" x14ac:dyDescent="0.2">
      <c r="A16" s="9">
        <v>1</v>
      </c>
      <c r="B16" s="9" t="s">
        <v>169</v>
      </c>
      <c r="C16" s="9">
        <v>0.1</v>
      </c>
      <c r="D16" s="9">
        <v>0.1</v>
      </c>
      <c r="E16" s="9">
        <v>0.1</v>
      </c>
      <c r="F16" s="9">
        <v>0.1</v>
      </c>
      <c r="G16" s="9">
        <v>0.6</v>
      </c>
    </row>
    <row r="17" spans="1:7" ht="16" x14ac:dyDescent="0.2">
      <c r="A17" s="9">
        <v>2</v>
      </c>
      <c r="B17" s="9" t="s">
        <v>5</v>
      </c>
      <c r="C17" s="9">
        <v>0.1</v>
      </c>
      <c r="D17" s="9">
        <v>0.1</v>
      </c>
      <c r="E17" s="9">
        <v>0.1</v>
      </c>
      <c r="F17" s="9">
        <v>0.6</v>
      </c>
      <c r="G17" s="9">
        <v>0.1</v>
      </c>
    </row>
    <row r="18" spans="1:7" ht="16" x14ac:dyDescent="0.2">
      <c r="A18" s="9">
        <v>3</v>
      </c>
      <c r="B18" s="9" t="s">
        <v>170</v>
      </c>
      <c r="C18" s="9">
        <v>0.2</v>
      </c>
      <c r="D18" s="9">
        <v>0.2</v>
      </c>
      <c r="E18" s="9">
        <v>0.2</v>
      </c>
      <c r="F18" s="9">
        <v>0.2</v>
      </c>
      <c r="G18" s="9">
        <v>0.2</v>
      </c>
    </row>
    <row r="19" spans="1:7" ht="16" x14ac:dyDescent="0.2">
      <c r="A19" s="9">
        <v>4</v>
      </c>
      <c r="B19" s="9" t="s">
        <v>171</v>
      </c>
      <c r="C19" s="9">
        <v>0.05</v>
      </c>
      <c r="D19" s="9">
        <v>0.05</v>
      </c>
      <c r="E19" s="9">
        <v>0.1</v>
      </c>
      <c r="F19" s="9">
        <v>0.4</v>
      </c>
      <c r="G19" s="9">
        <v>0.4</v>
      </c>
    </row>
    <row r="20" spans="1:7" ht="16" x14ac:dyDescent="0.2">
      <c r="A20" s="9">
        <v>5</v>
      </c>
      <c r="B20" s="9" t="s">
        <v>172</v>
      </c>
      <c r="C20" s="9">
        <v>0.4</v>
      </c>
      <c r="D20" s="9">
        <v>0.4</v>
      </c>
      <c r="E20" s="9">
        <v>0.1</v>
      </c>
      <c r="F20" s="9">
        <v>0.05</v>
      </c>
      <c r="G20" s="9">
        <v>0.05</v>
      </c>
    </row>
    <row r="21" spans="1:7" ht="16" x14ac:dyDescent="0.2">
      <c r="A21" s="9">
        <v>6</v>
      </c>
      <c r="B21" s="9" t="s">
        <v>173</v>
      </c>
      <c r="C21" s="9">
        <v>0.2</v>
      </c>
      <c r="D21" s="9">
        <v>0.6</v>
      </c>
      <c r="E21" s="9">
        <v>0.1</v>
      </c>
      <c r="F21" s="9">
        <v>0.05</v>
      </c>
      <c r="G21" s="9">
        <v>0.05</v>
      </c>
    </row>
    <row r="22" spans="1:7" ht="16" x14ac:dyDescent="0.2">
      <c r="A22" s="9">
        <v>7</v>
      </c>
      <c r="B22" s="9" t="s">
        <v>174</v>
      </c>
      <c r="C22" s="9">
        <v>0.6</v>
      </c>
      <c r="D22" s="9">
        <v>0.2</v>
      </c>
      <c r="E22" s="9">
        <v>0.1</v>
      </c>
      <c r="F22" s="9">
        <v>0.05</v>
      </c>
      <c r="G22" s="9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paddock_data</vt:lpstr>
      <vt:lpstr>cleaned</vt:lpstr>
      <vt:lpstr>pivot</vt:lpstr>
      <vt:lpstr>People</vt:lpstr>
      <vt:lpstr>native_rareplants</vt:lpstr>
      <vt:lpstr>flammability</vt:lpstr>
      <vt:lpstr>alternatives</vt:lpstr>
      <vt:lpstr>alt_trans</vt:lpstr>
      <vt:lpstr>raw from Clay</vt:lpstr>
      <vt:lpstr>max_comm</vt:lpstr>
      <vt:lpstr>max_graz</vt:lpstr>
      <vt:lpstr>max_hunt</vt:lpstr>
      <vt:lpstr>max_native</vt:lpstr>
      <vt:lpstr>max_rare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Ford</dc:creator>
  <cp:lastModifiedBy>Kirsten Oleson</cp:lastModifiedBy>
  <dcterms:created xsi:type="dcterms:W3CDTF">2018-10-24T20:45:14Z</dcterms:created>
  <dcterms:modified xsi:type="dcterms:W3CDTF">2026-04-25T01:02:40Z</dcterms:modified>
</cp:coreProperties>
</file>